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 Farm Anual" sheetId="1" r:id="rId5"/>
    <sheet state="visible" name="Extrato R$" sheetId="2" r:id="rId6"/>
    <sheet state="visible" name="Janeiro" sheetId="3" r:id="rId7"/>
    <sheet state="visible" name="Fevereiro" sheetId="4" r:id="rId8"/>
    <sheet state="visible" name="Março" sheetId="5" r:id="rId9"/>
    <sheet state="visible" name="Abril" sheetId="6" r:id="rId10"/>
    <sheet state="visible" name="Maio" sheetId="7" r:id="rId11"/>
    <sheet state="visible" name="Junho" sheetId="8" r:id="rId12"/>
    <sheet state="visible" name="Julho" sheetId="9" r:id="rId13"/>
    <sheet state="visible" name="Agosto" sheetId="10" r:id="rId14"/>
    <sheet state="visible" name="Setembro" sheetId="11" r:id="rId15"/>
    <sheet state="visible" name="Outubro" sheetId="12" r:id="rId16"/>
    <sheet state="visible" name="Novembro" sheetId="13" r:id="rId17"/>
    <sheet state="visible" name="Dezembro" sheetId="14" r:id="rId18"/>
  </sheets>
  <definedNames>
    <definedName hidden="1" localSheetId="1" name="_xlnm._FilterDatabase">'Extrato R$'!$B$3:$G$71</definedName>
    <definedName hidden="1" localSheetId="2" name="_xlnm._FilterDatabase">Janeiro!$B$6:$J$37</definedName>
    <definedName hidden="1" localSheetId="3" name="_xlnm._FilterDatabase">Fevereiro!$B$6:$J$34</definedName>
    <definedName hidden="1" localSheetId="4" name="_xlnm._FilterDatabase">'Março'!$B$6:$J$37</definedName>
    <definedName hidden="1" localSheetId="5" name="_xlnm._FilterDatabase">Abril!$B$6:$J$36</definedName>
    <definedName hidden="1" localSheetId="6" name="_xlnm._FilterDatabase">Maio!$B$6:$J$37</definedName>
    <definedName hidden="1" localSheetId="7" name="_xlnm._FilterDatabase">Junho!$B$6:$J$36</definedName>
    <definedName hidden="1" localSheetId="8" name="_xlnm._FilterDatabase">Julho!$B$6:$J$37</definedName>
    <definedName hidden="1" localSheetId="9" name="_xlnm._FilterDatabase">Agosto!$B$6:$J$37</definedName>
    <definedName hidden="1" localSheetId="10" name="_xlnm._FilterDatabase">Setembro!$B$6:$J$36</definedName>
    <definedName hidden="1" localSheetId="11" name="_xlnm._FilterDatabase">Outubro!$B$6:$J$37</definedName>
    <definedName hidden="1" localSheetId="12" name="_xlnm._FilterDatabase">Novembro!$B$6:$J$36</definedName>
    <definedName hidden="1" localSheetId="13" name="_xlnm._FilterDatabase">Dezembro!$B$6:$J$37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tc={b18cd86b-d04d-4fb4-ba21-954fcff7aaf4}</author>
    <author>tc={c802b1f9-854c-4952-be8a-4359bb30a356}</author>
  </authors>
  <commentList>
    <comment authorId="0" xr:uid="{b18cd86b-d04d-4fb4-ba21-954fcff7aaf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Arcans Sunrise
</t>
      </text>
    </comment>
    <comment authorId="1" xr:uid="{c802b1f9-854c-4952-be8a-4359bb30a35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Itz Megan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tc={80eed69c-a5a6-453f-bcdb-a18e29b87e77}</author>
    <author>tc={80faf8d3-5585-4da4-9870-a9bdb265a67c}</author>
    <author>tc={8ac2462c-b473-4989-9293-19b3a327d37d}</author>
    <author>tc={aaa872a2-c68e-42ab-83ba-831d082cf545}</author>
    <author>tc={b765600f-e2ca-4201-ab27-07b7c46b2e18}</author>
    <author>tc={ecfa7a82-7797-40a8-8989-65d79fbe1671}</author>
  </authors>
  <commentList>
    <comment authorId="0" xr:uid="{80eed69c-a5a6-453f-bcdb-a18e29b87e77}" ref="L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Uso média apenas onde analiso volume, e mediana onde preciso decidir.
</t>
      </text>
    </comment>
    <comment authorId="1" xr:uid="{80faf8d3-5585-4da4-9870-a9bdb265a67c}" ref="U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Mediana utilizada na fórmula de formatação condicional para evitar valores exagerados devido a drops raros, mantendo assim valores reais
</t>
      </text>
    </comment>
    <comment authorId="2" xr:uid="{8ac2462c-b473-4989-9293-19b3a327d37d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Itz Megan
</t>
      </text>
    </comment>
    <comment authorId="3" xr:uid="{aaa872a2-c68e-42ab-83ba-831d082cf545}" ref="L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Mediana utilizada para evitar valores exagerados devido a drops raros, mantendo assim valores reais
</t>
      </text>
    </comment>
    <comment authorId="4" xr:uid="{b765600f-e2ca-4201-ab27-07b7c46b2e18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TC teórico, sem o uso de múltiplo de 25 para evitar arrendondamentos e consequentemente perda de dados
</t>
      </text>
    </comment>
    <comment authorId="5" xr:uid="{ecfa7a82-7797-40a8-8989-65d79fbe1671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valor do Tibia Coin utilizado é o menor preço entre as ofertas com maior volume disponível, priorizando liquidez e evitando ruídos ou valores não representativos do mercado.
</t>
      </text>
    </comment>
  </commentList>
</comments>
</file>

<file path=xl/sharedStrings.xml><?xml version="1.0" encoding="utf-8"?>
<sst xmlns="http://schemas.openxmlformats.org/spreadsheetml/2006/main" count="465" uniqueCount="65">
  <si>
    <t>Coin Mediana</t>
  </si>
  <si>
    <t>Farm Total KK</t>
  </si>
  <si>
    <t>Farm Mediana</t>
  </si>
  <si>
    <t>Eficiência</t>
  </si>
  <si>
    <t>Média Rotação</t>
  </si>
  <si>
    <t>Média Hunt</t>
  </si>
  <si>
    <t>Média Drop</t>
  </si>
  <si>
    <t>Status</t>
  </si>
  <si>
    <t>% meta</t>
  </si>
  <si>
    <t>Dias Jogados</t>
  </si>
  <si>
    <t>Folgas Realizadas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</si>
  <si>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</si>
  <si>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</si>
  <si>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</si>
  <si>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</si>
  <si>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</si>
  <si>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</si>
  <si>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</si>
  <si>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</si>
  <si>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</si>
  <si>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</si>
  <si>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</si>
  <si>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</si>
  <si>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Controle de Movimentação de TC</t>
  </si>
  <si>
    <t>Extrato Mensal</t>
  </si>
  <si>
    <t>Data</t>
  </si>
  <si>
    <t>Mês/Ano</t>
  </si>
  <si>
    <t>Tipo</t>
  </si>
  <si>
    <t>Qntd TC</t>
  </si>
  <si>
    <t>Preço (R$/250 TC)</t>
  </si>
  <si>
    <t>Valor em R$</t>
  </si>
  <si>
    <t>TC Comprados</t>
  </si>
  <si>
    <t>TC Gastos</t>
  </si>
  <si>
    <t>TC Vendidos</t>
  </si>
  <si>
    <t>Saldo TC</t>
  </si>
  <si>
    <t>Preço mediano (R$/250 TC)</t>
  </si>
  <si>
    <t>R$ Vendidos</t>
  </si>
  <si>
    <t>Compra</t>
  </si>
  <si>
    <t>Uso</t>
  </si>
  <si>
    <t>Venda</t>
  </si>
  <si>
    <t>Configurações</t>
  </si>
  <si>
    <t>R$/ 250TC</t>
  </si>
  <si>
    <t>Meta (TC)</t>
  </si>
  <si>
    <t>Preço TC</t>
  </si>
  <si>
    <t>Rotações</t>
  </si>
  <si>
    <t>Hunts</t>
  </si>
  <si>
    <t>Drops</t>
  </si>
  <si>
    <t>Total KKs</t>
  </si>
  <si>
    <t>Total TC</t>
  </si>
  <si>
    <t>Total R$</t>
  </si>
  <si>
    <t>Jogou?</t>
  </si>
  <si>
    <t>Resumo Mensal</t>
  </si>
  <si>
    <t>Planejamento Mensal</t>
  </si>
  <si>
    <t>KK</t>
  </si>
  <si>
    <t>TC</t>
  </si>
  <si>
    <t>R$</t>
  </si>
  <si>
    <t>Mediana</t>
  </si>
  <si>
    <t>Dias do mês</t>
  </si>
  <si>
    <t>Dias jogados</t>
  </si>
  <si>
    <t>Farm Total</t>
  </si>
  <si>
    <t>Dias p/ meta</t>
  </si>
  <si>
    <t>Meta</t>
  </si>
  <si>
    <t>Folgas realizadas</t>
  </si>
  <si>
    <t>Restante</t>
  </si>
  <si>
    <t>Folgas Possíveis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</si>
</sst>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d/MM/yyyy"/>
    <numFmt numFmtId="166" formatCode="dd/mm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/>
    <font>
      <sz val="10.0"/>
      <color theme="1"/>
      <name val="Arial"/>
      <scheme val="minor"/>
    </font>
    <font>
      <color theme="1"/>
      <name val="Roboto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6">
    <border/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2" fillId="2" fontId="2" numFmtId="0" xfId="0" applyAlignment="1" applyBorder="1" applyFill="1" applyFont="1">
      <alignment horizontal="center" readingOrder="0" vertical="center"/>
    </xf>
    <xf borderId="3" fillId="2" fontId="2" numFmtId="0" xfId="0" applyAlignment="1" applyBorder="1" applyFont="1">
      <alignment horizontal="center" readingOrder="0" vertical="center"/>
    </xf>
    <xf borderId="4" fillId="2" fontId="2" numFmtId="0" xfId="0" applyAlignment="1" applyBorder="1" applyFont="1">
      <alignment horizontal="center" readingOrder="0" vertical="center"/>
    </xf>
    <xf borderId="5" fillId="2" fontId="2" numFmtId="0" xfId="0" applyAlignment="1" applyBorder="1" applyFont="1">
      <alignment horizontal="right" readingOrder="0"/>
    </xf>
    <xf borderId="6" fillId="0" fontId="1" numFmtId="3" xfId="0" applyAlignment="1" applyBorder="1" applyFont="1" applyNumberFormat="1">
      <alignment horizontal="center"/>
    </xf>
    <xf borderId="3" fillId="0" fontId="1" numFmtId="3" xfId="0" applyAlignment="1" applyBorder="1" applyFont="1" applyNumberFormat="1">
      <alignment horizontal="center"/>
    </xf>
    <xf borderId="3" fillId="0" fontId="1" numFmtId="0" xfId="0" applyAlignment="1" applyBorder="1" applyFont="1">
      <alignment horizontal="center"/>
    </xf>
    <xf borderId="3" fillId="0" fontId="1" numFmtId="9" xfId="0" applyAlignment="1" applyBorder="1" applyFont="1" applyNumberFormat="1">
      <alignment horizontal="center"/>
    </xf>
    <xf borderId="7" fillId="0" fontId="1" numFmtId="0" xfId="0" applyAlignment="1" applyBorder="1" applyFont="1">
      <alignment horizontal="center"/>
    </xf>
    <xf borderId="8" fillId="0" fontId="1" numFmtId="3" xfId="0" applyAlignment="1" applyBorder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9" xfId="0" applyAlignment="1" applyFont="1" applyNumberFormat="1">
      <alignment horizontal="center"/>
    </xf>
    <xf borderId="9" fillId="0" fontId="1" numFmtId="0" xfId="0" applyAlignment="1" applyBorder="1" applyFont="1">
      <alignment horizontal="center"/>
    </xf>
    <xf borderId="10" fillId="2" fontId="2" numFmtId="0" xfId="0" applyAlignment="1" applyBorder="1" applyFont="1">
      <alignment horizontal="right" readingOrder="0"/>
    </xf>
    <xf borderId="11" fillId="0" fontId="1" numFmtId="3" xfId="0" applyAlignment="1" applyBorder="1" applyFont="1" applyNumberFormat="1">
      <alignment horizontal="center"/>
    </xf>
    <xf borderId="12" fillId="0" fontId="1" numFmtId="3" xfId="0" applyAlignment="1" applyBorder="1" applyFont="1" applyNumberFormat="1">
      <alignment horizontal="center"/>
    </xf>
    <xf borderId="12" fillId="0" fontId="1" numFmtId="0" xfId="0" applyAlignment="1" applyBorder="1" applyFont="1">
      <alignment horizontal="center"/>
    </xf>
    <xf borderId="12" fillId="0" fontId="1" numFmtId="9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0" fillId="0" fontId="3" numFmtId="0" xfId="0" applyAlignment="1" applyFont="1">
      <alignment horizontal="center" readingOrder="0" vertical="center"/>
    </xf>
    <xf borderId="13" fillId="2" fontId="4" numFmtId="0" xfId="0" applyAlignment="1" applyBorder="1" applyFont="1">
      <alignment horizontal="center" readingOrder="0" vertical="center"/>
    </xf>
    <xf borderId="2" fillId="0" fontId="5" numFmtId="0" xfId="0" applyBorder="1" applyFont="1"/>
    <xf borderId="4" fillId="0" fontId="5" numFmtId="0" xfId="0" applyBorder="1" applyFont="1"/>
    <xf borderId="6" fillId="2" fontId="4" numFmtId="0" xfId="0" applyAlignment="1" applyBorder="1" applyFont="1">
      <alignment horizontal="center" readingOrder="0" vertical="center"/>
    </xf>
    <xf borderId="3" fillId="0" fontId="5" numFmtId="0" xfId="0" applyBorder="1" applyFont="1"/>
    <xf borderId="7" fillId="0" fontId="5" numFmtId="0" xfId="0" applyBorder="1" applyFont="1"/>
    <xf borderId="0" fillId="0" fontId="3" numFmtId="0" xfId="0" applyAlignment="1" applyFont="1">
      <alignment horizontal="center" readingOrder="0"/>
    </xf>
    <xf borderId="13" fillId="2" fontId="4" numFmtId="0" xfId="0" applyAlignment="1" applyBorder="1" applyFont="1">
      <alignment horizontal="center" readingOrder="0"/>
    </xf>
    <xf borderId="2" fillId="2" fontId="4" numFmtId="0" xfId="0" applyAlignment="1" applyBorder="1" applyFont="1">
      <alignment horizontal="center" readingOrder="0"/>
    </xf>
    <xf borderId="2" fillId="2" fontId="4" numFmtId="3" xfId="0" applyAlignment="1" applyBorder="1" applyFont="1" applyNumberFormat="1">
      <alignment horizontal="center" readingOrder="0"/>
    </xf>
    <xf borderId="2" fillId="2" fontId="4" numFmtId="164" xfId="0" applyAlignment="1" applyBorder="1" applyFont="1" applyNumberFormat="1">
      <alignment horizontal="center" readingOrder="0"/>
    </xf>
    <xf borderId="6" fillId="2" fontId="4" numFmtId="0" xfId="0" applyAlignment="1" applyBorder="1" applyFont="1">
      <alignment horizontal="center" readingOrder="0"/>
    </xf>
    <xf borderId="3" fillId="2" fontId="4" numFmtId="0" xfId="0" applyAlignment="1" applyBorder="1" applyFont="1">
      <alignment horizontal="center" readingOrder="0"/>
    </xf>
    <xf borderId="7" fillId="2" fontId="4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5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 readingOrder="0"/>
    </xf>
    <xf borderId="6" fillId="2" fontId="2" numFmtId="0" xfId="0" applyAlignment="1" applyBorder="1" applyFont="1">
      <alignment horizontal="right" readingOrder="0"/>
    </xf>
    <xf borderId="6" fillId="0" fontId="6" numFmtId="3" xfId="0" applyAlignment="1" applyBorder="1" applyFont="1" applyNumberFormat="1">
      <alignment horizontal="center"/>
    </xf>
    <xf borderId="3" fillId="0" fontId="6" numFmtId="3" xfId="0" applyAlignment="1" applyBorder="1" applyFont="1" applyNumberFormat="1">
      <alignment horizontal="center"/>
    </xf>
    <xf borderId="3" fillId="0" fontId="1" numFmtId="164" xfId="0" applyAlignment="1" applyBorder="1" applyFont="1" applyNumberFormat="1">
      <alignment horizontal="center"/>
    </xf>
    <xf borderId="7" fillId="0" fontId="1" numFmtId="164" xfId="0" applyAlignment="1" applyBorder="1" applyFont="1" applyNumberFormat="1">
      <alignment horizontal="center"/>
    </xf>
    <xf borderId="8" fillId="2" fontId="2" numFmtId="0" xfId="0" applyAlignment="1" applyBorder="1" applyFont="1">
      <alignment horizontal="right" readingOrder="0"/>
    </xf>
    <xf borderId="8" fillId="0" fontId="6" numFmtId="3" xfId="0" applyAlignment="1" applyBorder="1" applyFont="1" applyNumberFormat="1">
      <alignment horizontal="center"/>
    </xf>
    <xf borderId="0" fillId="0" fontId="6" numFmtId="3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9" fillId="0" fontId="1" numFmtId="164" xfId="0" applyAlignment="1" applyBorder="1" applyFont="1" applyNumberFormat="1">
      <alignment horizontal="center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3" xfId="0" applyFont="1" applyNumberFormat="1"/>
    <xf borderId="11" fillId="2" fontId="2" numFmtId="0" xfId="0" applyAlignment="1" applyBorder="1" applyFont="1">
      <alignment horizontal="right" readingOrder="0"/>
    </xf>
    <xf borderId="11" fillId="0" fontId="6" numFmtId="3" xfId="0" applyAlignment="1" applyBorder="1" applyFont="1" applyNumberFormat="1">
      <alignment horizontal="center"/>
    </xf>
    <xf borderId="12" fillId="0" fontId="6" numFmtId="3" xfId="0" applyAlignment="1" applyBorder="1" applyFont="1" applyNumberFormat="1">
      <alignment horizontal="center"/>
    </xf>
    <xf borderId="1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2" numFmtId="0" xfId="0" applyAlignment="1" applyFont="1">
      <alignment readingOrder="0"/>
    </xf>
    <xf borderId="0" fillId="0" fontId="7" numFmtId="0" xfId="0" applyFont="1"/>
    <xf borderId="0" fillId="0" fontId="1" numFmtId="165" xfId="0" applyFont="1" applyNumberFormat="1"/>
    <xf borderId="0" fillId="0" fontId="7" numFmtId="0" xfId="0" applyAlignment="1" applyFont="1">
      <alignment horizontal="left"/>
    </xf>
    <xf borderId="0" fillId="0" fontId="1" numFmtId="166" xfId="0" applyAlignment="1" applyFont="1" applyNumberFormat="1">
      <alignment readingOrder="0"/>
    </xf>
    <xf borderId="0" fillId="0" fontId="1" numFmtId="165" xfId="0" applyAlignment="1" applyFont="1" applyNumberFormat="1">
      <alignment horizontal="right"/>
    </xf>
    <xf borderId="13" fillId="3" fontId="2" numFmtId="0" xfId="0" applyAlignment="1" applyBorder="1" applyFill="1" applyFont="1">
      <alignment horizontal="center" readingOrder="0" vertical="center"/>
    </xf>
    <xf borderId="14" fillId="2" fontId="1" numFmtId="0" xfId="0" applyAlignment="1" applyBorder="1" applyFont="1">
      <alignment readingOrder="0"/>
    </xf>
    <xf borderId="14" fillId="0" fontId="1" numFmtId="164" xfId="0" applyAlignment="1" applyBorder="1" applyFont="1" applyNumberFormat="1">
      <alignment horizontal="center" readingOrder="0"/>
    </xf>
    <xf borderId="14" fillId="0" fontId="1" numFmtId="3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13" fillId="2" fontId="2" numFmtId="0" xfId="0" applyAlignment="1" applyBorder="1" applyFont="1">
      <alignment horizontal="center" readingOrder="0" vertical="center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horizontal="right"/>
    </xf>
    <xf borderId="0" fillId="0" fontId="1" numFmtId="164" xfId="0" applyAlignment="1" applyFont="1" applyNumberFormat="1">
      <alignment horizontal="right"/>
    </xf>
    <xf borderId="6" fillId="0" fontId="1" numFmtId="0" xfId="0" applyAlignment="1" applyBorder="1" applyFont="1">
      <alignment horizontal="center" readingOrder="0"/>
    </xf>
    <xf borderId="6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7" fillId="2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readingOrder="0"/>
    </xf>
    <xf borderId="0" fillId="0" fontId="1" numFmtId="1" xfId="0" applyAlignment="1" applyFont="1" applyNumberFormat="1">
      <alignment horizontal="center" readingOrder="0"/>
    </xf>
    <xf borderId="15" fillId="2" fontId="1" numFmtId="0" xfId="0" applyAlignment="1" applyBorder="1" applyFont="1">
      <alignment readingOrder="0"/>
    </xf>
    <xf borderId="3" fillId="0" fontId="1" numFmtId="3" xfId="0" applyBorder="1" applyFont="1" applyNumberFormat="1"/>
    <xf borderId="3" fillId="0" fontId="1" numFmtId="0" xfId="0" applyBorder="1" applyFont="1"/>
    <xf borderId="7" fillId="0" fontId="1" numFmtId="0" xfId="0" applyBorder="1" applyFont="1"/>
    <xf borderId="0" fillId="0" fontId="1" numFmtId="1" xfId="0" applyAlignment="1" applyFont="1" applyNumberFormat="1">
      <alignment horizontal="left"/>
    </xf>
    <xf borderId="5" fillId="2" fontId="1" numFmtId="0" xfId="0" applyAlignment="1" applyBorder="1" applyFont="1">
      <alignment readingOrder="0"/>
    </xf>
    <xf borderId="0" fillId="0" fontId="1" numFmtId="166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8" numFmtId="0" xfId="0" applyAlignment="1" applyFont="1">
      <alignment readingOrder="0" vertical="bottom"/>
    </xf>
    <xf borderId="9" fillId="0" fontId="1" numFmtId="164" xfId="0" applyBorder="1" applyFont="1" applyNumberFormat="1"/>
    <xf borderId="0" fillId="0" fontId="1" numFmtId="3" xfId="0" applyAlignment="1" applyFont="1" applyNumberFormat="1">
      <alignment readingOrder="0" vertical="bottom"/>
    </xf>
    <xf borderId="0" fillId="0" fontId="1" numFmtId="3" xfId="0" applyAlignment="1" applyFont="1" applyNumberFormat="1">
      <alignment horizontal="right" vertical="bottom"/>
    </xf>
    <xf borderId="9" fillId="0" fontId="1" numFmtId="1" xfId="0" applyAlignment="1" applyBorder="1" applyFont="1" applyNumberFormat="1">
      <alignment horizontal="center"/>
    </xf>
    <xf borderId="0" fillId="4" fontId="1" numFmtId="165" xfId="0" applyAlignment="1" applyFill="1" applyFont="1" applyNumberFormat="1">
      <alignment readingOrder="0"/>
    </xf>
    <xf borderId="0" fillId="0" fontId="1" numFmtId="3" xfId="0" applyAlignment="1" applyFont="1" applyNumberFormat="1">
      <alignment horizontal="right" readingOrder="0" vertical="bottom"/>
    </xf>
    <xf borderId="10" fillId="2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1" xfId="0" applyFont="1" applyNumberFormat="1"/>
    <xf borderId="0" fillId="5" fontId="1" numFmtId="165" xfId="0" applyAlignment="1" applyFill="1" applyFont="1" applyNumberFormat="1">
      <alignment readingOrder="0"/>
    </xf>
    <xf borderId="0" fillId="0" fontId="1" numFmtId="3" xfId="0" applyAlignment="1" applyFont="1" applyNumberFormat="1">
      <alignment horizontal="right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ao Vitor (Clovis)" id="{d5d2cef1-df46-4ee6-804f-ee2bfa2e6b1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04T19:55:45.00" personId="{d5d2cef1-df46-4ee6-804f-ee2bfa2e6b1b}" id="{b18cd86b-d04d-4fb4-ba21-954fcff7aaf4}" done="1">
    <x18tc:text xml:space="preserve">Arcans Sunrise</x18tc:text>
  </x18tc:threadedComment>
  <x18tc:threadedComment ref="A1" dT="2026-01-04T19:55:13.00" personId="{d5d2cef1-df46-4ee6-804f-ee2bfa2e6b1b}" id="{c802b1f9-854c-4952-be8a-4359bb30a356}" done="0">
    <x18tc:text xml:space="preserve">Itz Megan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9" dT="2026-01-04T19:54:20.00" personId="{d5d2cef1-df46-4ee6-804f-ee2bfa2e6b1b}" id="{aaa872a2-c68e-42ab-83ba-831d082cf545}" done="1">
    <x18tc:text xml:space="preserve">Mediana utilizada para evitar valores exagerados devido a drops raros, mantendo assim valores reais</x18tc:text>
  </x18tc:threadedComment>
  <x18tc:threadedComment ref="C6" dT="2026-01-05T19:28:58.00" personId="{d5d2cef1-df46-4ee6-804f-ee2bfa2e6b1b}" id="{ecfa7a82-7797-40a8-8989-65d79fbe1671}" done="1">
    <x18tc:text xml:space="preserve">O valor do Tibia Coin utilizado é o menor preço entre as ofertas com maior volume disponível, priorizando liquidez e evitando ruídos ou valores não representativos do mercado.</x18tc:text>
  </x18tc:threadedComment>
  <x18tc:threadedComment ref="H6" dT="2026-01-04T19:52:38.00" personId="{d5d2cef1-df46-4ee6-804f-ee2bfa2e6b1b}" id="{b765600f-e2ca-4201-ab27-07b7c46b2e18}" done="1">
    <x18tc:text xml:space="preserve">TC teórico, sem o uso de múltiplo de 25 para evitar arrendondamentos e consequentemente perda de dados</x18tc:text>
  </x18tc:threadedComment>
  <x18tc:threadedComment ref="D5" dT="2026-01-04T19:55:30.00" personId="{d5d2cef1-df46-4ee6-804f-ee2bfa2e6b1b}" id="{8ac2462c-b473-4989-9293-19b3a327d37d}" done="1">
    <x18tc:text xml:space="preserve">Itz Megan</x18tc:text>
  </x18tc:threadedComment>
  <x18tc:threadedComment ref="L8" dT="2026-01-06T02:05:26.00" personId="{d5d2cef1-df46-4ee6-804f-ee2bfa2e6b1b}" id="{80eed69c-a5a6-453f-bcdb-a18e29b87e77}" done="1">
    <x18tc:text xml:space="preserve">Uso média apenas onde analiso volume, e mediana onde preciso decidir.</x18tc:text>
  </x18tc:threadedComment>
  <x18tc:threadedComment ref="U7" dT="2026-01-04T20:05:30.00" personId="{d5d2cef1-df46-4ee6-804f-ee2bfa2e6b1b}" id="{80faf8d3-5585-4da4-9870-a9bdb265a67c}" done="1">
    <x18tc:text xml:space="preserve">Mediana utilizada na fórmula de formatação condicional para evitar valores exagerados devido a drops raros, mantendo assim valores reais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2" max="2" width="9.75"/>
    <col customWidth="1" min="3" max="3" width="17.38"/>
    <col customWidth="1" min="5" max="6" width="14.75"/>
    <col customWidth="1" hidden="1" min="7" max="7" width="12.75"/>
    <col hidden="1" min="8" max="9" width="12.63"/>
    <col customWidth="1" min="11" max="11" width="14.75"/>
    <col customWidth="1" min="13" max="13" width="14.75"/>
  </cols>
  <sheetData>
    <row r="1" ht="23.2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1"/>
    </row>
    <row r="2" ht="30.0" customHeight="1">
      <c r="A2" s="1"/>
      <c r="B2" s="3"/>
      <c r="C2" s="4" t="s">
        <v>0</v>
      </c>
      <c r="D2" s="4" t="s">
        <v>1</v>
      </c>
      <c r="E2" s="4" t="s">
        <v>2</v>
      </c>
      <c r="F2" s="4" t="s">
        <v>3</v>
      </c>
      <c r="G2" s="5" t="s">
        <v>4</v>
      </c>
      <c r="H2" s="5" t="s">
        <v>5</v>
      </c>
      <c r="I2" s="5" t="s">
        <v>6</v>
      </c>
      <c r="J2" s="4" t="s">
        <v>7</v>
      </c>
      <c r="K2" s="4" t="s">
        <v>8</v>
      </c>
      <c r="L2" s="4" t="s">
        <v>9</v>
      </c>
      <c r="M2" s="6" t="s">
        <v>10</v>
      </c>
    </row>
    <row r="3">
      <c r="A3" s="1"/>
      <c r="B3" s="7" t="s">
        <v>11</v>
      </c>
      <c r="C3" s="8">
        <f>Janeiro!$M$8</f>
        <v>40575.5</v>
      </c>
      <c r="D3" s="9">
        <f>Janeiro!$M$10</f>
        <v>214209070</v>
      </c>
      <c r="E3" s="9">
        <f>Janeiro!$M$9</f>
        <v>8763490.5</v>
      </c>
      <c r="F3" s="9">
        <f t="shared" ref="F3:F14" si="1">IFERROR(D3/L3, 0)</f>
        <v>8925377.917</v>
      </c>
      <c r="G3" s="9">
        <f>IFERROR(AVERAGE(Janeiro!$D$7:$D$37), )</f>
        <v>5542493.75</v>
      </c>
      <c r="H3" s="9">
        <f>IFERROR(AVERAGE(Janeiro!$E$7:$E$37), 0)</f>
        <v>2778717.5</v>
      </c>
      <c r="I3" s="9">
        <f>IFERROR(AVERAGE(Janeiro!$F$7:$F$37), 0)</f>
        <v>604166.6667</v>
      </c>
      <c r="J3" s="10" t="str">
        <f>if(Janeiro!$R$13 = "🔵 Concluído","Ok", "No")</f>
        <v>Ok</v>
      </c>
      <c r="K3" s="11">
        <f>IFERROR(D3/Janeiro!$M$11, 0)</f>
        <v>1.055854247</v>
      </c>
      <c r="L3" s="10">
        <f>Janeiro!$R$9</f>
        <v>24</v>
      </c>
      <c r="M3" s="12">
        <f>Janeiro!$R$11</f>
        <v>7</v>
      </c>
    </row>
    <row r="4">
      <c r="A4" s="1"/>
      <c r="B4" s="7" t="s">
        <v>12</v>
      </c>
      <c r="C4" s="13">
        <f>Fevereiro!$M$8</f>
        <v>39997</v>
      </c>
      <c r="D4" s="14">
        <f>Fevereiro!$M$10</f>
        <v>216933187</v>
      </c>
      <c r="E4" s="14">
        <f>Fevereiro!$M$9</f>
        <v>7936121</v>
      </c>
      <c r="F4" s="14">
        <f t="shared" si="1"/>
        <v>7747613.821</v>
      </c>
      <c r="G4" s="14">
        <f>IFERROR(AVERAGE(Fevereiro!$D$7:$D$37), 0)</f>
        <v>4879658.036</v>
      </c>
      <c r="H4" s="14">
        <f>IFERROR(AVERAGE(Fevereiro!$E$7:$E$37), 0)</f>
        <v>2589240.964</v>
      </c>
      <c r="I4" s="14">
        <f>IFERROR(AVERAGE(Fevereiro!$F$7:$F$37), 0)</f>
        <v>289037.5926</v>
      </c>
      <c r="J4" s="15" t="str">
        <f>if(Fevereiro!$R$13 = "🔵 Concluído","Ok", "No")</f>
        <v>Ok</v>
      </c>
      <c r="K4" s="16">
        <f>IFERROR(D4/Fevereiro!$M$11, 0)</f>
        <v>1.084747291</v>
      </c>
      <c r="L4" s="15">
        <f>Fevereiro!$R$9</f>
        <v>28</v>
      </c>
      <c r="M4" s="17">
        <f>Fevereiro!$R$11</f>
        <v>0</v>
      </c>
    </row>
    <row r="5">
      <c r="A5" s="1"/>
      <c r="B5" s="7" t="s">
        <v>13</v>
      </c>
      <c r="C5" s="13">
        <f>'Março'!$M$8</f>
        <v>38498</v>
      </c>
      <c r="D5" s="14">
        <f>'Março'!$M$10</f>
        <v>208999761</v>
      </c>
      <c r="E5" s="14">
        <f>'Março'!$M$9</f>
        <v>7255621</v>
      </c>
      <c r="F5" s="14">
        <f t="shared" si="1"/>
        <v>6741927.774</v>
      </c>
      <c r="G5" s="14">
        <f>IFERROR(AVERAGE('Março'!$D$7:$D$37), 0)</f>
        <v>3988847.032</v>
      </c>
      <c r="H5" s="14">
        <f>IFERROR(AVERAGE('Março'!$E$7:$E$37), 0)</f>
        <v>2675594.871</v>
      </c>
      <c r="I5" s="14">
        <f>IFERROR(AVERAGE('Março'!$F$7:$F$37), 0)</f>
        <v>77485.87097</v>
      </c>
      <c r="J5" s="15" t="str">
        <f>if('Março'!$R$13 = "🔵 Concluído","Ok", "No")</f>
        <v>Ok</v>
      </c>
      <c r="K5" s="16">
        <f>IFERROR(D5/'Março'!$M$11, 0)</f>
        <v>1.085769448</v>
      </c>
      <c r="L5" s="15">
        <f>'Março'!$R$9</f>
        <v>31</v>
      </c>
      <c r="M5" s="17">
        <f>'Março'!$R$11</f>
        <v>0</v>
      </c>
    </row>
    <row r="6">
      <c r="A6" s="1"/>
      <c r="B6" s="7" t="s">
        <v>14</v>
      </c>
      <c r="C6" s="13">
        <f>Abril!$M$8</f>
        <v>38396</v>
      </c>
      <c r="D6" s="14">
        <f>Abril!$M$10</f>
        <v>0</v>
      </c>
      <c r="E6" s="14" t="str">
        <f>Abril!$M$9</f>
        <v/>
      </c>
      <c r="F6" s="14">
        <f t="shared" si="1"/>
        <v>0</v>
      </c>
      <c r="G6" s="14">
        <f>IFERROR(AVERAGE(Abril!$D$7:$D$37), 0)</f>
        <v>0</v>
      </c>
      <c r="H6" s="14">
        <f>IFERROR(AVERAGE(Abril!$E$7:$E$37), 0)</f>
        <v>0</v>
      </c>
      <c r="I6" s="14">
        <f>IFERROR(AVERAGE(Abril!$F$7:$F$37), 0)</f>
        <v>0</v>
      </c>
      <c r="J6" s="15" t="str">
        <f>if(Abril!$R$13 = "🔵 Concluído","Ok", "No")</f>
        <v>No</v>
      </c>
      <c r="K6" s="16">
        <f>IFERROR(D6/Abril!$M$11, 0)</f>
        <v>0</v>
      </c>
      <c r="L6" s="15">
        <f>Abril!$R$9</f>
        <v>0</v>
      </c>
      <c r="M6" s="17">
        <f>Abril!$R$11</f>
        <v>1</v>
      </c>
    </row>
    <row r="7">
      <c r="A7" s="1"/>
      <c r="B7" s="7" t="s">
        <v>15</v>
      </c>
      <c r="C7" s="13" t="str">
        <f>Maio!$M$8</f>
        <v/>
      </c>
      <c r="D7" s="14">
        <f>Maio!$M$10</f>
        <v>0</v>
      </c>
      <c r="E7" s="14" t="str">
        <f>Maio!$M$9</f>
        <v/>
      </c>
      <c r="F7" s="14">
        <f t="shared" si="1"/>
        <v>0</v>
      </c>
      <c r="G7" s="14">
        <f>IFERROR(AVERAGE(Maio!$D$7:$D$37), 0)</f>
        <v>0</v>
      </c>
      <c r="H7" s="14">
        <f>IFERROR(AVERAGE(Maio!$E$7:$E$37), 0)</f>
        <v>0</v>
      </c>
      <c r="I7" s="14">
        <f>IFERROR(AVERAGE(Maio!$F$7:$F$37), 0)</f>
        <v>0</v>
      </c>
      <c r="J7" s="15" t="str">
        <f>if(Maio!$R$13 = "🔵 Concluído","Ok", "No")</f>
        <v>Ok</v>
      </c>
      <c r="K7" s="16">
        <f>IFERROR(D7/Maio!$M$11, 0)</f>
        <v>0</v>
      </c>
      <c r="L7" s="15">
        <f>Maio!$R$9</f>
        <v>0</v>
      </c>
      <c r="M7" s="17">
        <f>Maio!$R$11</f>
        <v>0</v>
      </c>
    </row>
    <row r="8">
      <c r="A8" s="1"/>
      <c r="B8" s="7" t="s">
        <v>16</v>
      </c>
      <c r="C8" s="13" t="str">
        <f>Junho!$M$8</f>
        <v/>
      </c>
      <c r="D8" s="14">
        <f>Junho!$M$10</f>
        <v>0</v>
      </c>
      <c r="E8" s="14" t="str">
        <f>Junho!$M$9</f>
        <v/>
      </c>
      <c r="F8" s="14">
        <f t="shared" si="1"/>
        <v>0</v>
      </c>
      <c r="G8" s="14">
        <f>IFERROR(AVERAGE(Junho!$D$7:$D$37), 0)</f>
        <v>0</v>
      </c>
      <c r="H8" s="14">
        <f>IFERROR(AVERAGE(Junho!$E$7:$E$37), 0)</f>
        <v>0</v>
      </c>
      <c r="I8" s="14">
        <f>IFERROR(AVERAGE(Junho!$F$7:$F$37), 0)</f>
        <v>0</v>
      </c>
      <c r="J8" s="15" t="str">
        <f>if(Junho!$R$13 = "🔵 Concluído","Ok", "No")</f>
        <v>Ok</v>
      </c>
      <c r="K8" s="16">
        <f>IFERROR(D8/Junho!$M$11, 0)</f>
        <v>0</v>
      </c>
      <c r="L8" s="15">
        <f>Junho!$R$9</f>
        <v>0</v>
      </c>
      <c r="M8" s="17">
        <f>Junho!$R$11</f>
        <v>0</v>
      </c>
    </row>
    <row r="9">
      <c r="A9" s="1"/>
      <c r="B9" s="7" t="s">
        <v>17</v>
      </c>
      <c r="C9" s="13" t="str">
        <f>Julho!$M$8</f>
        <v/>
      </c>
      <c r="D9" s="14">
        <f>Julho!$M$10</f>
        <v>0</v>
      </c>
      <c r="E9" s="14" t="str">
        <f>Julho!$M$9</f>
        <v/>
      </c>
      <c r="F9" s="14">
        <f t="shared" si="1"/>
        <v>0</v>
      </c>
      <c r="G9" s="14">
        <f>IFERROR(AVERAGE(Julho!$D$7:$D$37), 0)</f>
        <v>0</v>
      </c>
      <c r="H9" s="14">
        <f>IFERROR(AVERAGE(Julho!$E$7:$E$37), 0)</f>
        <v>0</v>
      </c>
      <c r="I9" s="14">
        <f>IFERROR(AVERAGE(Julho!$F$7:$F$37), 0)</f>
        <v>0</v>
      </c>
      <c r="J9" s="15" t="str">
        <f>if(Julho!$R$13 = "🔵 Concluído","Ok", "No")</f>
        <v>Ok</v>
      </c>
      <c r="K9" s="16">
        <f>IFERROR(D9/Julho!$M$11, 0)</f>
        <v>0</v>
      </c>
      <c r="L9" s="15">
        <f>Julho!$R$9</f>
        <v>0</v>
      </c>
      <c r="M9" s="17">
        <f>Julho!$R$11</f>
        <v>0</v>
      </c>
    </row>
    <row r="10">
      <c r="A10" s="1"/>
      <c r="B10" s="7" t="s">
        <v>18</v>
      </c>
      <c r="C10" s="13" t="str">
        <f>Agosto!$M$8</f>
        <v/>
      </c>
      <c r="D10" s="14">
        <f>Agosto!$M$10</f>
        <v>0</v>
      </c>
      <c r="E10" s="14" t="str">
        <f>Agosto!$M$9</f>
        <v/>
      </c>
      <c r="F10" s="14">
        <f t="shared" si="1"/>
        <v>0</v>
      </c>
      <c r="G10" s="14">
        <f>IFERROR(AVERAGE(Agosto!$D$7:$D$37), 0)</f>
        <v>0</v>
      </c>
      <c r="H10" s="14">
        <f>IFERROR(AVERAGE(Agosto!$E$7:$E$37), 0)</f>
        <v>0</v>
      </c>
      <c r="I10" s="14">
        <f>IFERROR(AVERAGE(Agosto!$F$7:$F$37), 0)</f>
        <v>0</v>
      </c>
      <c r="J10" s="15" t="str">
        <f>if(Agosto!$R$13 = "🔵 Concluído","Ok", "No")</f>
        <v>Ok</v>
      </c>
      <c r="K10" s="16">
        <f>IFERROR(D10/Agosto!$M$11, 0)</f>
        <v>0</v>
      </c>
      <c r="L10" s="15">
        <f>Agosto!$R$9</f>
        <v>0</v>
      </c>
      <c r="M10" s="17">
        <f>Agosto!$R$11</f>
        <v>0</v>
      </c>
    </row>
    <row r="11">
      <c r="A11" s="1"/>
      <c r="B11" s="7" t="s">
        <v>19</v>
      </c>
      <c r="C11" s="13" t="str">
        <f>Setembro!$M$8</f>
        <v/>
      </c>
      <c r="D11" s="14">
        <f>Setembro!$M$10</f>
        <v>0</v>
      </c>
      <c r="E11" s="14" t="str">
        <f>Setembro!$M$9</f>
        <v/>
      </c>
      <c r="F11" s="14">
        <f t="shared" si="1"/>
        <v>0</v>
      </c>
      <c r="G11" s="14">
        <f>IFERROR(AVERAGE(Setembro!$D$7:$D$37), 0)</f>
        <v>0</v>
      </c>
      <c r="H11" s="14">
        <f>IFERROR(AVERAGE(Setembro!$E$7:$E$37), 0)</f>
        <v>0</v>
      </c>
      <c r="I11" s="14">
        <f>IFERROR(AVERAGE(Setembro!$F$7:$F$37), 0)</f>
        <v>0</v>
      </c>
      <c r="J11" s="15" t="str">
        <f>if(Setembro!$R$13 = "🔵 Concluído","Ok", "No")</f>
        <v>Ok</v>
      </c>
      <c r="K11" s="16">
        <f>IFERROR(D11/Setembro!$M$11, 0)</f>
        <v>0</v>
      </c>
      <c r="L11" s="15">
        <f>Setembro!$R$9</f>
        <v>0</v>
      </c>
      <c r="M11" s="17">
        <f>Setembro!$R$11</f>
        <v>0</v>
      </c>
    </row>
    <row r="12">
      <c r="A12" s="1"/>
      <c r="B12" s="7" t="s">
        <v>20</v>
      </c>
      <c r="C12" s="13" t="str">
        <f>Outubro!$M$8</f>
        <v/>
      </c>
      <c r="D12" s="14">
        <f>Outubro!$M$10</f>
        <v>0</v>
      </c>
      <c r="E12" s="14" t="str">
        <f>Outubro!$M$9</f>
        <v/>
      </c>
      <c r="F12" s="14">
        <f t="shared" si="1"/>
        <v>0</v>
      </c>
      <c r="G12" s="14">
        <f>IFERROR(AVERAGE(Outubro!$D$7:$D$37), 0)</f>
        <v>0</v>
      </c>
      <c r="H12" s="14">
        <f>IFERROR(AVERAGE(Outubro!$E$7:$E$37), 0)</f>
        <v>0</v>
      </c>
      <c r="I12" s="14">
        <f>IFERROR(AVERAGE(Outubro!$F$7:$F$37), 0)</f>
        <v>0</v>
      </c>
      <c r="J12" s="15" t="str">
        <f>if(Outubro!$R$13 = "🔵 Concluído","Ok", "No")</f>
        <v>Ok</v>
      </c>
      <c r="K12" s="16">
        <f>IFERROR(D12/Outubro!$M$11, 0)</f>
        <v>0</v>
      </c>
      <c r="L12" s="15">
        <f>Outubro!$R$9</f>
        <v>0</v>
      </c>
      <c r="M12" s="17">
        <f>Outubro!$R$11</f>
        <v>0</v>
      </c>
    </row>
    <row r="13">
      <c r="A13" s="1"/>
      <c r="B13" s="7" t="s">
        <v>21</v>
      </c>
      <c r="C13" s="13" t="str">
        <f>Novembro!$M$8</f>
        <v/>
      </c>
      <c r="D13" s="14">
        <f>Novembro!$M$10</f>
        <v>0</v>
      </c>
      <c r="E13" s="14" t="str">
        <f>Novembro!$M$9</f>
        <v/>
      </c>
      <c r="F13" s="14">
        <f t="shared" si="1"/>
        <v>0</v>
      </c>
      <c r="G13" s="14">
        <f>IFERROR(AVERAGE(Novembro!$D$7:$D$37), 0)</f>
        <v>0</v>
      </c>
      <c r="H13" s="14">
        <f>IFERROR(AVERAGE(Novembro!$E$7:$E$37), 0)</f>
        <v>0</v>
      </c>
      <c r="I13" s="14">
        <f>IFERROR(AVERAGE(Novembro!$F$7:$F$37), 0)</f>
        <v>0</v>
      </c>
      <c r="J13" s="15" t="str">
        <f>if(Novembro!$R$13 = "🔵 Concluído","Ok", "No")</f>
        <v>Ok</v>
      </c>
      <c r="K13" s="16">
        <f>IFERROR(D13/Novembro!$M$11, 0)</f>
        <v>0</v>
      </c>
      <c r="L13" s="15">
        <f>Novembro!$R$9</f>
        <v>0</v>
      </c>
      <c r="M13" s="17">
        <f>Novembro!$R$11</f>
        <v>0</v>
      </c>
    </row>
    <row r="14">
      <c r="A14" s="1"/>
      <c r="B14" s="18" t="s">
        <v>22</v>
      </c>
      <c r="C14" s="19" t="str">
        <f>Dezembro!$M$8</f>
        <v/>
      </c>
      <c r="D14" s="20">
        <f>Dezembro!$M$10</f>
        <v>0</v>
      </c>
      <c r="E14" s="20" t="str">
        <f>Dezembro!$M$9</f>
        <v/>
      </c>
      <c r="F14" s="20">
        <f t="shared" si="1"/>
        <v>0</v>
      </c>
      <c r="G14" s="20">
        <f>IFERROR(AVERAGE(Dezembro!$D$7:$D$37), 0)</f>
        <v>0</v>
      </c>
      <c r="H14" s="20">
        <f>IFERROR(AVERAGE(Dezembro!$E$7:$E$37), 0)</f>
        <v>0</v>
      </c>
      <c r="I14" s="20">
        <f>IFERROR(AVERAGE(Dezembro!$F$7:$F$37), 0)</f>
        <v>0</v>
      </c>
      <c r="J14" s="21" t="str">
        <f>if(Dezembro!$R$13 = "🔵 Concluído","Ok", "No")</f>
        <v>Ok</v>
      </c>
      <c r="K14" s="22">
        <f>IFERROR(D14/Dezembro!$M$11, 0)</f>
        <v>0</v>
      </c>
      <c r="L14" s="21">
        <f>Dezembro!$R$9</f>
        <v>0</v>
      </c>
      <c r="M14" s="23">
        <f>Dezembro!$R$11</f>
        <v>0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9.38"/>
    <col customWidth="1" min="3" max="3" width="11.13"/>
    <col customWidth="1" min="4" max="4" width="11.88"/>
    <col customWidth="1" min="5" max="5" width="10.75"/>
    <col customWidth="1" min="6" max="6" width="19.13"/>
    <col customWidth="1" min="7" max="7" width="14.0"/>
    <col customWidth="1" min="8" max="8" width="2.38"/>
    <col customWidth="1" min="9" max="9" width="9.0"/>
    <col customWidth="1" min="10" max="10" width="14.13"/>
    <col customWidth="1" min="11" max="11" width="10.13"/>
    <col customWidth="1" min="12" max="12" width="12.13"/>
    <col customWidth="1" min="13" max="13" width="9.0"/>
    <col customWidth="1" min="14" max="14" width="24.75"/>
    <col customWidth="1" min="15" max="15" width="12.0"/>
  </cols>
  <sheetData>
    <row r="1" ht="21.0" customHeight="1">
      <c r="A1" s="24"/>
      <c r="B1" s="24"/>
      <c r="C1" s="24"/>
      <c r="D1" s="24"/>
      <c r="E1" s="24"/>
      <c r="F1" s="24"/>
      <c r="G1" s="24"/>
      <c r="I1" s="24"/>
      <c r="J1" s="24"/>
      <c r="K1" s="24"/>
      <c r="L1" s="24"/>
      <c r="M1" s="24"/>
      <c r="N1" s="24"/>
      <c r="O1" s="24"/>
    </row>
    <row r="2" ht="33.75" customHeight="1">
      <c r="A2" s="24"/>
      <c r="B2" s="25" t="s">
        <v>23</v>
      </c>
      <c r="C2" s="26"/>
      <c r="D2" s="26"/>
      <c r="E2" s="26"/>
      <c r="F2" s="26"/>
      <c r="G2" s="27"/>
      <c r="I2" s="24"/>
      <c r="J2" s="28" t="s">
        <v>24</v>
      </c>
      <c r="K2" s="29"/>
      <c r="L2" s="29"/>
      <c r="M2" s="29"/>
      <c r="N2" s="29"/>
      <c r="O2" s="30"/>
    </row>
    <row r="3">
      <c r="A3" s="31"/>
      <c r="B3" s="32" t="s">
        <v>25</v>
      </c>
      <c r="C3" s="33" t="s">
        <v>26</v>
      </c>
      <c r="D3" s="33" t="s">
        <v>27</v>
      </c>
      <c r="E3" s="34" t="s">
        <v>28</v>
      </c>
      <c r="F3" s="35" t="s">
        <v>29</v>
      </c>
      <c r="G3" s="33" t="s">
        <v>30</v>
      </c>
      <c r="I3" s="31"/>
      <c r="J3" s="36" t="s">
        <v>31</v>
      </c>
      <c r="K3" s="37" t="s">
        <v>32</v>
      </c>
      <c r="L3" s="37" t="s">
        <v>33</v>
      </c>
      <c r="M3" s="37" t="s">
        <v>34</v>
      </c>
      <c r="N3" s="37" t="s">
        <v>35</v>
      </c>
      <c r="O3" s="38" t="s">
        <v>36</v>
      </c>
    </row>
    <row r="4">
      <c r="A4" s="39"/>
      <c r="B4" s="39">
        <v>46024.0</v>
      </c>
      <c r="C4" s="40" t="str">
        <f t="shared" ref="C4:C71" si="1">(TEXT(B4,"mm/yyyy"))</f>
        <v>01/2026</v>
      </c>
      <c r="D4" s="41" t="s">
        <v>37</v>
      </c>
      <c r="E4" s="42">
        <v>100.0</v>
      </c>
      <c r="F4" s="41">
        <v>53.5</v>
      </c>
      <c r="G4" s="43">
        <f t="shared" ref="G4:G71" si="2"> E4/250 * F4</f>
        <v>21.4</v>
      </c>
      <c r="I4" s="44" t="s">
        <v>11</v>
      </c>
      <c r="J4" s="45">
        <f>SUMIFS($E$4:$E1003,$C$4:$C1003,"2026-01",$D$4:$D1003,"Compra")
</f>
        <v>4500</v>
      </c>
      <c r="K4" s="46">
        <f>SUMIFS($E$4:$E1003,$C$4:$C1003,"2026-01",$D$4:$D1003,"Uso")
</f>
        <v>250</v>
      </c>
      <c r="L4" s="46">
        <f>SUMIFS($E$4:$E1003,$C$4:$C1003,"2026-01",$D$4:$D1003,"Venda")
</f>
        <v>0</v>
      </c>
      <c r="M4" s="46">
        <f> J4 - K4 - L4</f>
        <v>4250</v>
      </c>
      <c r="N4" s="47">
        <f>IFERROR(__xludf.DUMMYFUNCTION("IFERROR(MEDIAN(FILTER($F$4:$F1003,$C$4:$C1003=""01/2026"",$D$4:$D1003=""Compra""), ), 0
)"),53.5)</f>
        <v>53.5</v>
      </c>
      <c r="O4" s="48">
        <f t="shared" ref="O4:O15" si="3"> L4/250 * N4</f>
        <v>0</v>
      </c>
    </row>
    <row r="5">
      <c r="A5" s="39"/>
      <c r="B5" s="39">
        <v>46025.0</v>
      </c>
      <c r="C5" s="40" t="str">
        <f t="shared" si="1"/>
        <v>01/2026</v>
      </c>
      <c r="D5" s="41" t="s">
        <v>37</v>
      </c>
      <c r="E5" s="42">
        <v>250.0</v>
      </c>
      <c r="F5" s="41">
        <v>53.5</v>
      </c>
      <c r="G5" s="43">
        <f t="shared" si="2"/>
        <v>53.5</v>
      </c>
      <c r="I5" s="49" t="s">
        <v>12</v>
      </c>
      <c r="J5" s="50">
        <f>SUMIFS($E$4:$E1003,$C$4:$C1003,"2026-02",$D$4:$D1003,"Compra")
</f>
        <v>4525</v>
      </c>
      <c r="K5" s="51">
        <f>SUMIFS($E$4:$E1003,$C$4:$C1003,"2026-02",$D$4:$D1003,"Uso")
</f>
        <v>400</v>
      </c>
      <c r="L5" s="51">
        <f>SUMIFS($E$4:$E1003,$C$4:$C1003,"2026-02",$D$4:$D1003,"Venda")
</f>
        <v>7000</v>
      </c>
      <c r="M5" s="51">
        <f t="shared" ref="M5:M6" si="4"> M4 + J5 - K5 - L5</f>
        <v>1375</v>
      </c>
      <c r="N5" s="52">
        <f>IFERROR(__xludf.DUMMYFUNCTION("IFERROR(MEDIAN(FILTER($F$4:$F1003,$C$4:$C1003=""02/2026"",$D$4:$D1003=""Compra""), ), 0
)"),52.0)</f>
        <v>52</v>
      </c>
      <c r="O5" s="53">
        <f t="shared" si="3"/>
        <v>1456</v>
      </c>
    </row>
    <row r="6">
      <c r="A6" s="39"/>
      <c r="B6" s="39">
        <v>46025.0</v>
      </c>
      <c r="C6" s="40" t="str">
        <f t="shared" si="1"/>
        <v>01/2026</v>
      </c>
      <c r="D6" s="41" t="s">
        <v>37</v>
      </c>
      <c r="E6" s="42">
        <v>250.0</v>
      </c>
      <c r="F6" s="41">
        <v>53.5</v>
      </c>
      <c r="G6" s="43">
        <f t="shared" si="2"/>
        <v>53.5</v>
      </c>
      <c r="H6" s="31"/>
      <c r="I6" s="49" t="s">
        <v>13</v>
      </c>
      <c r="J6" s="50">
        <f>SUMIFS($E$4:$E1003,$C$4:$C1003,"2026-03",$D$4:$D1003,"Compra")
</f>
        <v>4850</v>
      </c>
      <c r="K6" s="51">
        <f>SUMIFS($E$4:$E1003,$C$4:$C1003,"2026-03",$D$4:$D1003,"Uso")
</f>
        <v>2725</v>
      </c>
      <c r="L6" s="51">
        <f>SUMIFS($E$4:$E1003,$C$4:$C1003,"2026-03",$D$4:$D1003,"Venda")
</f>
        <v>3000</v>
      </c>
      <c r="M6" s="51">
        <f t="shared" si="4"/>
        <v>500</v>
      </c>
      <c r="N6" s="52">
        <f>IFERROR(__xludf.DUMMYFUNCTION("IFERROR(MEDIAN(FILTER($F$4:$F1003,$C$4:$C1003=""03/2026"",$D$4:$D1003=""Compra""), ), 0
)"),51.0)</f>
        <v>51</v>
      </c>
      <c r="O6" s="53">
        <f t="shared" si="3"/>
        <v>612</v>
      </c>
    </row>
    <row r="7">
      <c r="A7" s="39"/>
      <c r="B7" s="39">
        <v>46027.0</v>
      </c>
      <c r="C7" s="40" t="str">
        <f t="shared" si="1"/>
        <v>01/2026</v>
      </c>
      <c r="D7" s="41" t="s">
        <v>37</v>
      </c>
      <c r="E7" s="42">
        <v>150.0</v>
      </c>
      <c r="F7" s="41">
        <v>53.5</v>
      </c>
      <c r="G7" s="43">
        <f t="shared" si="2"/>
        <v>32.1</v>
      </c>
      <c r="H7" s="54"/>
      <c r="I7" s="49" t="s">
        <v>14</v>
      </c>
      <c r="J7" s="50">
        <f>SUMIFS($E$4:$E1003,$C$4:$C1003,"2026-04",$D$4:$D1003,"Compra")
</f>
        <v>0</v>
      </c>
      <c r="K7" s="51">
        <f>SUMIFS($E$4:$E1003,$C$4:$C1003,"2026-04",$D$4:$D1003,"Uso")
</f>
        <v>0</v>
      </c>
      <c r="L7" s="51">
        <f>SUMIFS($E$4:$E1003,$C$4:$C1003,"2026-04",$D$4:$D1003,"Venda")
</f>
        <v>0</v>
      </c>
      <c r="M7" s="51">
        <f t="shared" ref="M7:M15" si="5"> J7 - K7 - L7</f>
        <v>0</v>
      </c>
      <c r="N7" s="52">
        <f>IFERROR(__xludf.DUMMYFUNCTION("IFERROR(MEDIAN(FILTER($F$4:$F1003,$C$4:$C1003=""04/2026"",$D$4:$D1003=""Compra""), ), 0
)"),0.0)</f>
        <v>0</v>
      </c>
      <c r="O7" s="53">
        <f t="shared" si="3"/>
        <v>0</v>
      </c>
    </row>
    <row r="8">
      <c r="A8" s="39"/>
      <c r="B8" s="39">
        <v>46028.0</v>
      </c>
      <c r="C8" s="40" t="str">
        <f t="shared" si="1"/>
        <v>01/2026</v>
      </c>
      <c r="D8" s="41" t="s">
        <v>37</v>
      </c>
      <c r="E8" s="42">
        <v>100.0</v>
      </c>
      <c r="F8" s="41">
        <v>53.5</v>
      </c>
      <c r="G8" s="43">
        <f t="shared" si="2"/>
        <v>21.4</v>
      </c>
      <c r="I8" s="49" t="s">
        <v>15</v>
      </c>
      <c r="J8" s="50">
        <f>SUMIFS($E$4:$E1003,$C$4:$C1003,"2026-05",$D$4:$D1003,"Compra")
</f>
        <v>0</v>
      </c>
      <c r="K8" s="51">
        <f>SUMIFS($E$4:$E1003,$C$4:$C1003,"2026-05",$D$4:$D1003,"Uso")
</f>
        <v>0</v>
      </c>
      <c r="L8" s="51">
        <f>SUMIFS($E$4:$E1003,$C$4:$C1003,"2026-05",$D$4:$D1003,"Venda")
</f>
        <v>0</v>
      </c>
      <c r="M8" s="51">
        <f t="shared" si="5"/>
        <v>0</v>
      </c>
      <c r="N8" s="52">
        <f>IFERROR(__xludf.DUMMYFUNCTION("IFERROR(MEDIAN(FILTER($F$4:$F1003,$C$4:$C1003=""05/2026"",$D$4:$D1003=""Compra""), ), 0
)"),0.0)</f>
        <v>0</v>
      </c>
      <c r="O8" s="53">
        <f t="shared" si="3"/>
        <v>0</v>
      </c>
    </row>
    <row r="9">
      <c r="A9" s="39"/>
      <c r="B9" s="39">
        <v>46029.0</v>
      </c>
      <c r="C9" s="40" t="str">
        <f t="shared" si="1"/>
        <v>01/2026</v>
      </c>
      <c r="D9" s="41" t="s">
        <v>37</v>
      </c>
      <c r="E9" s="42">
        <v>250.0</v>
      </c>
      <c r="F9" s="41">
        <v>53.5</v>
      </c>
      <c r="G9" s="43">
        <f t="shared" si="2"/>
        <v>53.5</v>
      </c>
      <c r="H9" s="31"/>
      <c r="I9" s="49" t="s">
        <v>16</v>
      </c>
      <c r="J9" s="50">
        <f>SUMIFS($E$4:$E1003,$C$4:$C1003,"2026-06",$D$4:$D1003,"Compra")
</f>
        <v>0</v>
      </c>
      <c r="K9" s="51">
        <f>SUMIFS($E$4:$E1003,$C$4:$C1003,"2026-06",$D$4:$D1003,"Uso")
</f>
        <v>0</v>
      </c>
      <c r="L9" s="51">
        <f>SUMIFS($E$4:$E1003,$C$4:$C1003,"2026-06",$D$4:$D1003,"Venda")
</f>
        <v>0</v>
      </c>
      <c r="M9" s="51">
        <f t="shared" si="5"/>
        <v>0</v>
      </c>
      <c r="N9" s="52">
        <f>IFERROR(__xludf.DUMMYFUNCTION("IFERROR(MEDIAN(FILTER($F$4:$F1003,$C$4:$C1003=""06/2026"",$D$4:$D1003=""Compra""), ), 0
)"),0.0)</f>
        <v>0</v>
      </c>
      <c r="O9" s="53">
        <f t="shared" si="3"/>
        <v>0</v>
      </c>
    </row>
    <row r="10">
      <c r="A10" s="39"/>
      <c r="B10" s="39">
        <v>46024.0</v>
      </c>
      <c r="C10" s="40" t="str">
        <f t="shared" si="1"/>
        <v>01/2026</v>
      </c>
      <c r="D10" s="41" t="s">
        <v>37</v>
      </c>
      <c r="E10" s="42">
        <v>150.0</v>
      </c>
      <c r="F10" s="41">
        <v>53.5</v>
      </c>
      <c r="G10" s="43">
        <f t="shared" si="2"/>
        <v>32.1</v>
      </c>
      <c r="H10" s="55"/>
      <c r="I10" s="49" t="s">
        <v>17</v>
      </c>
      <c r="J10" s="50">
        <f>SUMIFS($E$4:$E1003,$C$4:$C1003,"2026-07",$D$4:$D1003,"Compra")
</f>
        <v>0</v>
      </c>
      <c r="K10" s="51">
        <f>SUMIFS($E$4:$E1003,$C$4:$C1003,"2026-07",$D$4:$D1003,"Uso")
</f>
        <v>0</v>
      </c>
      <c r="L10" s="51">
        <f>SUMIFS($E$4:$E1003,$C$4:$C1003,"2026-07",$D$4:$D1003,"Venda")
</f>
        <v>0</v>
      </c>
      <c r="M10" s="51">
        <f t="shared" si="5"/>
        <v>0</v>
      </c>
      <c r="N10" s="52">
        <f>IFERROR(__xludf.DUMMYFUNCTION("IFERROR(MEDIAN(FILTER($F$4:$F1003,$C$4:$C1003=""07/2026"",$D$4:$D1003=""Compra""), ), 0
)"),0.0)</f>
        <v>0</v>
      </c>
      <c r="O10" s="53">
        <f t="shared" si="3"/>
        <v>0</v>
      </c>
    </row>
    <row r="11">
      <c r="A11" s="39"/>
      <c r="B11" s="39">
        <v>46029.0</v>
      </c>
      <c r="C11" s="40" t="str">
        <f t="shared" si="1"/>
        <v>01/2026</v>
      </c>
      <c r="D11" s="41" t="s">
        <v>38</v>
      </c>
      <c r="E11" s="42">
        <v>250.0</v>
      </c>
      <c r="F11" s="41">
        <v>53.5</v>
      </c>
      <c r="G11" s="43">
        <f t="shared" si="2"/>
        <v>53.5</v>
      </c>
      <c r="H11" s="56"/>
      <c r="I11" s="49" t="s">
        <v>18</v>
      </c>
      <c r="J11" s="50">
        <f>SUMIFS($E$4:$E1003,$C$4:$C1003,"2026-08",$D$4:$D1003,"Compra")
</f>
        <v>0</v>
      </c>
      <c r="K11" s="51">
        <f>SUMIFS($E$4:$E1003,$C$4:$C1003,"2026-08",$D$4:$D1003,"Uso")
</f>
        <v>0</v>
      </c>
      <c r="L11" s="51">
        <f>SUMIFS($E$4:$E1003,$C$4:$C1003,"2026-08",$D$4:$D1003,"Venda")
</f>
        <v>0</v>
      </c>
      <c r="M11" s="51">
        <f t="shared" si="5"/>
        <v>0</v>
      </c>
      <c r="N11" s="52">
        <f>IFERROR(__xludf.DUMMYFUNCTION("IFERROR(MEDIAN(FILTER($F$4:$F1003,$C$4:$C1003=""08/2026"",$D$4:$D1003=""Compra""), ), 0
)"),0.0)</f>
        <v>0</v>
      </c>
      <c r="O11" s="53">
        <f t="shared" si="3"/>
        <v>0</v>
      </c>
    </row>
    <row r="12">
      <c r="A12" s="39"/>
      <c r="B12" s="39">
        <v>46036.0</v>
      </c>
      <c r="C12" s="40" t="str">
        <f t="shared" si="1"/>
        <v>01/2026</v>
      </c>
      <c r="D12" s="41" t="s">
        <v>37</v>
      </c>
      <c r="E12" s="42">
        <v>750.0</v>
      </c>
      <c r="F12" s="41">
        <v>53.5</v>
      </c>
      <c r="G12" s="43">
        <f t="shared" si="2"/>
        <v>160.5</v>
      </c>
      <c r="H12" s="31"/>
      <c r="I12" s="49" t="s">
        <v>19</v>
      </c>
      <c r="J12" s="50">
        <f>SUMIFS($E$4:$E1003,$C$4:$C1003,"2026-09",$D$4:$D1003,"Compra")
</f>
        <v>0</v>
      </c>
      <c r="K12" s="51">
        <f>SUMIFS($E$4:$E1003,$C$4:$C1003,"2026-09",$D$4:$D1003,"Uso")
</f>
        <v>0</v>
      </c>
      <c r="L12" s="51">
        <f>SUMIFS($E$4:$E1003,$C$4:$C1003,"2026-09",$D$4:$D1003,"Venda")
</f>
        <v>0</v>
      </c>
      <c r="M12" s="51">
        <f t="shared" si="5"/>
        <v>0</v>
      </c>
      <c r="N12" s="52">
        <f>IFERROR(__xludf.DUMMYFUNCTION("IFERROR(MEDIAN(FILTER($F$4:$F1003,$C$4:$C1003=""09/2026"",$D$4:$D1003=""Compra""), ), 0
)"),0.0)</f>
        <v>0</v>
      </c>
      <c r="O12" s="53">
        <f t="shared" si="3"/>
        <v>0</v>
      </c>
    </row>
    <row r="13">
      <c r="A13" s="39"/>
      <c r="B13" s="39">
        <v>46041.0</v>
      </c>
      <c r="C13" s="40" t="str">
        <f t="shared" si="1"/>
        <v>01/2026</v>
      </c>
      <c r="D13" s="41" t="s">
        <v>37</v>
      </c>
      <c r="E13" s="42">
        <v>250.0</v>
      </c>
      <c r="F13" s="41">
        <v>53.5</v>
      </c>
      <c r="G13" s="43">
        <f t="shared" si="2"/>
        <v>53.5</v>
      </c>
      <c r="H13" s="54"/>
      <c r="I13" s="49" t="s">
        <v>20</v>
      </c>
      <c r="J13" s="50">
        <f>SUMIFS($E$4:$E1003,$C$4:$C1003,"2026-10",$D$4:$D1003,"Compra")
</f>
        <v>0</v>
      </c>
      <c r="K13" s="51">
        <f>SUMIFS($E$4:$E1003,$C$4:$C1003,"2026-10",$D$4:$D1003,"Uso")
</f>
        <v>0</v>
      </c>
      <c r="L13" s="51">
        <f>SUMIFS($E$4:$E1003,$C$4:$C1003,"2026-10",$D$4:$D1003,"Venda")
</f>
        <v>0</v>
      </c>
      <c r="M13" s="51">
        <f t="shared" si="5"/>
        <v>0</v>
      </c>
      <c r="N13" s="52">
        <f>IFERROR(__xludf.DUMMYFUNCTION("IFERROR(MEDIAN(FILTER($F$4:$F1003,$C$4:$C1003=""10/2026"",$D$4:$D1003=""Compra""), ), 0
)"),0.0)</f>
        <v>0</v>
      </c>
      <c r="O13" s="53">
        <f t="shared" si="3"/>
        <v>0</v>
      </c>
    </row>
    <row r="14">
      <c r="A14" s="39"/>
      <c r="B14" s="39">
        <v>46044.0</v>
      </c>
      <c r="C14" s="40" t="str">
        <f t="shared" si="1"/>
        <v>01/2026</v>
      </c>
      <c r="D14" s="41" t="s">
        <v>37</v>
      </c>
      <c r="E14" s="42">
        <v>500.0</v>
      </c>
      <c r="F14" s="41">
        <v>53.5</v>
      </c>
      <c r="G14" s="43">
        <f t="shared" si="2"/>
        <v>107</v>
      </c>
      <c r="H14" s="56"/>
      <c r="I14" s="49" t="s">
        <v>21</v>
      </c>
      <c r="J14" s="50">
        <f>SUMIFS($E$4:$E1003,$C$4:$C1003,"2026-11",$D$4:$D1003,"Compra")
</f>
        <v>0</v>
      </c>
      <c r="K14" s="51">
        <f>SUMIFS($E$4:$E1003,$C$4:$C1003,"2026-11",$D$4:$D1003,"Uso")
</f>
        <v>0</v>
      </c>
      <c r="L14" s="51">
        <f>SUMIFS($E$4:$E1003,$C$4:$C1003,"2026-11",$D$4:$D1003,"Venda")
</f>
        <v>0</v>
      </c>
      <c r="M14" s="51">
        <f t="shared" si="5"/>
        <v>0</v>
      </c>
      <c r="N14" s="52">
        <f>IFERROR(__xludf.DUMMYFUNCTION("IFERROR(MEDIAN(FILTER($F$4:$F1003,$C$4:$C1003=""11/2026"",$D$4:$D1003=""Compra""), ), 0
)"),0.0)</f>
        <v>0</v>
      </c>
      <c r="O14" s="53">
        <f t="shared" si="3"/>
        <v>0</v>
      </c>
    </row>
    <row r="15">
      <c r="A15" s="39"/>
      <c r="B15" s="39">
        <v>46045.0</v>
      </c>
      <c r="C15" s="40" t="str">
        <f t="shared" si="1"/>
        <v>01/2026</v>
      </c>
      <c r="D15" s="41" t="s">
        <v>37</v>
      </c>
      <c r="E15" s="42">
        <v>250.0</v>
      </c>
      <c r="F15" s="41">
        <v>53.5</v>
      </c>
      <c r="G15" s="43">
        <f t="shared" si="2"/>
        <v>53.5</v>
      </c>
      <c r="I15" s="57" t="s">
        <v>22</v>
      </c>
      <c r="J15" s="58">
        <f>SUMIFS($E$4:$E1003,$C$4:$C1003,"2026-12",$D$4:$D1003,"Compra")
</f>
        <v>0</v>
      </c>
      <c r="K15" s="59">
        <f>SUMIFS($E$4:$E1003,$C$4:$C1003,"2026-12",$D$4:$D1003,"Uso")
</f>
        <v>0</v>
      </c>
      <c r="L15" s="59">
        <f>SUMIFS($E$4:$E1003,$C$4:$C1003,"2026-12",$D$4:$D1003,"Venda")
</f>
        <v>0</v>
      </c>
      <c r="M15" s="59">
        <f t="shared" si="5"/>
        <v>0</v>
      </c>
      <c r="N15" s="60">
        <f>IFERROR(__xludf.DUMMYFUNCTION("IFERROR(MEDIAN(FILTER($F$4:$F1003,$C$4:$C1003=""12/2026"",$D$4:$D1003=""Compra""), ), 0
)"),0.0)</f>
        <v>0</v>
      </c>
      <c r="O15" s="61">
        <f t="shared" si="3"/>
        <v>0</v>
      </c>
    </row>
    <row r="16">
      <c r="A16" s="39"/>
      <c r="B16" s="39">
        <v>46046.0</v>
      </c>
      <c r="C16" s="40" t="str">
        <f t="shared" si="1"/>
        <v>01/2026</v>
      </c>
      <c r="D16" s="41" t="s">
        <v>37</v>
      </c>
      <c r="E16" s="42">
        <v>125.0</v>
      </c>
      <c r="F16" s="41">
        <v>53.5</v>
      </c>
      <c r="G16" s="43">
        <f t="shared" si="2"/>
        <v>26.75</v>
      </c>
      <c r="J16" s="62"/>
      <c r="K16" s="63"/>
      <c r="L16" s="63"/>
      <c r="M16" s="63"/>
      <c r="N16" s="63"/>
    </row>
    <row r="17">
      <c r="A17" s="39"/>
      <c r="B17" s="39">
        <v>46047.0</v>
      </c>
      <c r="C17" s="40" t="str">
        <f t="shared" si="1"/>
        <v>01/2026</v>
      </c>
      <c r="D17" s="41" t="s">
        <v>37</v>
      </c>
      <c r="E17" s="42">
        <v>125.0</v>
      </c>
      <c r="F17" s="41">
        <v>53.5</v>
      </c>
      <c r="G17" s="43">
        <f t="shared" si="2"/>
        <v>26.75</v>
      </c>
      <c r="K17" s="63"/>
      <c r="L17" s="63"/>
      <c r="M17" s="63"/>
      <c r="N17" s="63"/>
    </row>
    <row r="18">
      <c r="A18" s="39"/>
      <c r="B18" s="39">
        <v>46048.0</v>
      </c>
      <c r="C18" s="40" t="str">
        <f t="shared" si="1"/>
        <v>01/2026</v>
      </c>
      <c r="D18" s="41" t="s">
        <v>37</v>
      </c>
      <c r="E18" s="42">
        <v>250.0</v>
      </c>
      <c r="F18" s="41">
        <v>53.5</v>
      </c>
      <c r="G18" s="43">
        <f t="shared" si="2"/>
        <v>53.5</v>
      </c>
      <c r="K18" s="63"/>
      <c r="L18" s="63"/>
      <c r="M18" s="63"/>
      <c r="N18" s="63"/>
    </row>
    <row r="19">
      <c r="A19" s="39"/>
      <c r="B19" s="39">
        <v>46049.0</v>
      </c>
      <c r="C19" s="40" t="str">
        <f t="shared" si="1"/>
        <v>01/2026</v>
      </c>
      <c r="D19" s="41" t="s">
        <v>37</v>
      </c>
      <c r="E19" s="42">
        <v>250.0</v>
      </c>
      <c r="F19" s="41">
        <v>53.5</v>
      </c>
      <c r="G19" s="43">
        <f t="shared" si="2"/>
        <v>53.5</v>
      </c>
      <c r="K19" s="63"/>
      <c r="L19" s="63"/>
      <c r="M19" s="63"/>
      <c r="N19" s="63"/>
    </row>
    <row r="20">
      <c r="A20" s="39"/>
      <c r="B20" s="39">
        <v>46050.0</v>
      </c>
      <c r="C20" s="40" t="str">
        <f t="shared" si="1"/>
        <v>01/2026</v>
      </c>
      <c r="D20" s="41" t="s">
        <v>37</v>
      </c>
      <c r="E20" s="42">
        <v>500.0</v>
      </c>
      <c r="F20" s="41">
        <v>53.5</v>
      </c>
      <c r="G20" s="43">
        <f t="shared" si="2"/>
        <v>107</v>
      </c>
      <c r="K20" s="63"/>
      <c r="L20" s="63"/>
      <c r="M20" s="63"/>
      <c r="N20" s="63"/>
    </row>
    <row r="21">
      <c r="A21" s="64"/>
      <c r="B21" s="39">
        <v>46051.0</v>
      </c>
      <c r="C21" s="40" t="str">
        <f t="shared" si="1"/>
        <v>01/2026</v>
      </c>
      <c r="D21" s="41" t="s">
        <v>37</v>
      </c>
      <c r="E21" s="42">
        <v>250.0</v>
      </c>
      <c r="F21" s="41">
        <v>53.5</v>
      </c>
      <c r="G21" s="43">
        <f t="shared" si="2"/>
        <v>53.5</v>
      </c>
      <c r="K21" s="63"/>
      <c r="L21" s="63"/>
      <c r="M21" s="63"/>
      <c r="N21" s="63"/>
    </row>
    <row r="22">
      <c r="A22" s="64"/>
      <c r="B22" s="39">
        <v>46056.0</v>
      </c>
      <c r="C22" s="40" t="str">
        <f t="shared" si="1"/>
        <v>02/2026</v>
      </c>
      <c r="D22" s="41" t="s">
        <v>37</v>
      </c>
      <c r="E22" s="42">
        <v>250.0</v>
      </c>
      <c r="F22" s="41">
        <v>53.0</v>
      </c>
      <c r="G22" s="43">
        <f t="shared" si="2"/>
        <v>53</v>
      </c>
      <c r="K22" s="63"/>
      <c r="L22" s="63"/>
      <c r="M22" s="63"/>
      <c r="N22" s="63"/>
    </row>
    <row r="23">
      <c r="A23" s="64"/>
      <c r="B23" s="39">
        <v>46056.0</v>
      </c>
      <c r="C23" s="40" t="str">
        <f t="shared" si="1"/>
        <v>02/2026</v>
      </c>
      <c r="D23" s="41" t="s">
        <v>38</v>
      </c>
      <c r="E23" s="42">
        <v>30.0</v>
      </c>
      <c r="F23" s="41">
        <v>52.0</v>
      </c>
      <c r="G23" s="43">
        <f t="shared" si="2"/>
        <v>6.24</v>
      </c>
      <c r="K23" s="63"/>
      <c r="L23" s="63"/>
      <c r="M23" s="63"/>
      <c r="N23" s="65"/>
    </row>
    <row r="24">
      <c r="A24" s="64"/>
      <c r="B24" s="39">
        <v>46056.0</v>
      </c>
      <c r="C24" s="40" t="str">
        <f t="shared" si="1"/>
        <v>02/2026</v>
      </c>
      <c r="D24" s="41" t="s">
        <v>37</v>
      </c>
      <c r="E24" s="42">
        <v>250.0</v>
      </c>
      <c r="F24" s="41">
        <v>52.0</v>
      </c>
      <c r="G24" s="43">
        <f t="shared" si="2"/>
        <v>52</v>
      </c>
      <c r="K24" s="63"/>
      <c r="L24" s="63"/>
      <c r="M24" s="63"/>
      <c r="N24" s="63"/>
    </row>
    <row r="25">
      <c r="A25" s="64"/>
      <c r="B25" s="39">
        <v>46056.0</v>
      </c>
      <c r="C25" s="40" t="str">
        <f t="shared" si="1"/>
        <v>02/2026</v>
      </c>
      <c r="D25" s="41" t="s">
        <v>39</v>
      </c>
      <c r="E25" s="42">
        <v>4500.0</v>
      </c>
      <c r="F25" s="41">
        <v>52.0</v>
      </c>
      <c r="G25" s="43">
        <f t="shared" si="2"/>
        <v>936</v>
      </c>
      <c r="K25" s="63"/>
      <c r="L25" s="63"/>
      <c r="M25" s="63"/>
      <c r="N25" s="63"/>
    </row>
    <row r="26">
      <c r="A26" s="64"/>
      <c r="B26" s="39">
        <v>46057.0</v>
      </c>
      <c r="C26" s="40" t="str">
        <f t="shared" si="1"/>
        <v>02/2026</v>
      </c>
      <c r="D26" s="41" t="s">
        <v>38</v>
      </c>
      <c r="E26" s="42">
        <v>30.0</v>
      </c>
      <c r="F26" s="41">
        <v>52.0</v>
      </c>
      <c r="G26" s="43">
        <f t="shared" si="2"/>
        <v>6.24</v>
      </c>
      <c r="K26" s="63"/>
      <c r="L26" s="63"/>
      <c r="M26" s="63"/>
      <c r="N26" s="63"/>
    </row>
    <row r="27">
      <c r="A27" s="64"/>
      <c r="B27" s="39">
        <v>46057.0</v>
      </c>
      <c r="C27" s="40" t="str">
        <f t="shared" si="1"/>
        <v>02/2026</v>
      </c>
      <c r="D27" s="41" t="s">
        <v>37</v>
      </c>
      <c r="E27" s="42">
        <v>100.0</v>
      </c>
      <c r="F27" s="41">
        <v>52.0</v>
      </c>
      <c r="G27" s="43">
        <f t="shared" si="2"/>
        <v>20.8</v>
      </c>
    </row>
    <row r="28">
      <c r="A28" s="64"/>
      <c r="B28" s="39">
        <v>46058.0</v>
      </c>
      <c r="C28" s="40" t="str">
        <f t="shared" si="1"/>
        <v>02/2026</v>
      </c>
      <c r="D28" s="41" t="s">
        <v>38</v>
      </c>
      <c r="E28" s="42">
        <v>30.0</v>
      </c>
      <c r="F28" s="41">
        <v>52.0</v>
      </c>
      <c r="G28" s="43">
        <f t="shared" si="2"/>
        <v>6.24</v>
      </c>
    </row>
    <row r="29">
      <c r="A29" s="64"/>
      <c r="B29" s="39">
        <v>46059.0</v>
      </c>
      <c r="C29" s="40" t="str">
        <f t="shared" si="1"/>
        <v>02/2026</v>
      </c>
      <c r="D29" s="41" t="s">
        <v>38</v>
      </c>
      <c r="E29" s="42">
        <v>30.0</v>
      </c>
      <c r="F29" s="41">
        <v>52.0</v>
      </c>
      <c r="G29" s="43">
        <f t="shared" si="2"/>
        <v>6.24</v>
      </c>
    </row>
    <row r="30">
      <c r="A30" s="64"/>
      <c r="B30" s="39">
        <v>46061.0</v>
      </c>
      <c r="C30" s="40" t="str">
        <f t="shared" si="1"/>
        <v>02/2026</v>
      </c>
      <c r="D30" s="41" t="s">
        <v>38</v>
      </c>
      <c r="E30" s="42">
        <v>30.0</v>
      </c>
      <c r="F30" s="41">
        <v>52.0</v>
      </c>
      <c r="G30" s="43">
        <f t="shared" si="2"/>
        <v>6.24</v>
      </c>
    </row>
    <row r="31">
      <c r="A31" s="64"/>
      <c r="B31" s="39">
        <v>46062.0</v>
      </c>
      <c r="C31" s="40" t="str">
        <f t="shared" si="1"/>
        <v>02/2026</v>
      </c>
      <c r="D31" s="41" t="s">
        <v>37</v>
      </c>
      <c r="E31" s="42">
        <v>800.0</v>
      </c>
      <c r="F31" s="41">
        <v>52.0</v>
      </c>
      <c r="G31" s="43">
        <f t="shared" si="2"/>
        <v>166.4</v>
      </c>
    </row>
    <row r="32">
      <c r="A32" s="64"/>
      <c r="B32" s="39">
        <v>46064.0</v>
      </c>
      <c r="C32" s="40" t="str">
        <f t="shared" si="1"/>
        <v>02/2026</v>
      </c>
      <c r="D32" s="41" t="s">
        <v>37</v>
      </c>
      <c r="E32" s="42">
        <v>250.0</v>
      </c>
      <c r="F32" s="41">
        <v>52.0</v>
      </c>
      <c r="G32" s="43">
        <f t="shared" si="2"/>
        <v>52</v>
      </c>
    </row>
    <row r="33">
      <c r="A33" s="64"/>
      <c r="B33" s="39">
        <v>46064.0</v>
      </c>
      <c r="C33" s="40" t="str">
        <f t="shared" si="1"/>
        <v>02/2026</v>
      </c>
      <c r="D33" s="41" t="s">
        <v>38</v>
      </c>
      <c r="E33" s="42">
        <v>250.0</v>
      </c>
      <c r="F33" s="41">
        <v>52.0</v>
      </c>
      <c r="G33" s="43">
        <f t="shared" si="2"/>
        <v>52</v>
      </c>
    </row>
    <row r="34">
      <c r="A34" s="64"/>
      <c r="B34" s="39">
        <v>46065.0</v>
      </c>
      <c r="C34" s="40" t="str">
        <f t="shared" si="1"/>
        <v>02/2026</v>
      </c>
      <c r="D34" s="41" t="s">
        <v>37</v>
      </c>
      <c r="E34" s="42">
        <v>250.0</v>
      </c>
      <c r="F34" s="41">
        <v>52.0</v>
      </c>
      <c r="G34" s="43">
        <f t="shared" si="2"/>
        <v>52</v>
      </c>
    </row>
    <row r="35">
      <c r="A35" s="64"/>
      <c r="B35" s="39">
        <v>46067.0</v>
      </c>
      <c r="C35" s="40" t="str">
        <f t="shared" si="1"/>
        <v>02/2026</v>
      </c>
      <c r="D35" s="41" t="s">
        <v>37</v>
      </c>
      <c r="E35" s="42">
        <v>250.0</v>
      </c>
      <c r="F35" s="41">
        <v>52.0</v>
      </c>
      <c r="G35" s="43">
        <f t="shared" si="2"/>
        <v>52</v>
      </c>
    </row>
    <row r="36">
      <c r="A36" s="64"/>
      <c r="B36" s="39">
        <v>46068.0</v>
      </c>
      <c r="C36" s="40" t="str">
        <f t="shared" si="1"/>
        <v>02/2026</v>
      </c>
      <c r="D36" s="41" t="s">
        <v>37</v>
      </c>
      <c r="E36" s="42">
        <v>250.0</v>
      </c>
      <c r="F36" s="41">
        <v>52.0</v>
      </c>
      <c r="G36" s="43">
        <f t="shared" si="2"/>
        <v>52</v>
      </c>
    </row>
    <row r="37">
      <c r="A37" s="64"/>
      <c r="B37" s="39">
        <v>46070.0</v>
      </c>
      <c r="C37" s="40" t="str">
        <f t="shared" si="1"/>
        <v>02/2026</v>
      </c>
      <c r="D37" s="41" t="s">
        <v>37</v>
      </c>
      <c r="E37" s="42">
        <v>250.0</v>
      </c>
      <c r="F37" s="41">
        <v>52.0</v>
      </c>
      <c r="G37" s="43">
        <f t="shared" si="2"/>
        <v>52</v>
      </c>
    </row>
    <row r="38">
      <c r="A38" s="64"/>
      <c r="B38" s="39">
        <v>46071.0</v>
      </c>
      <c r="C38" s="40" t="str">
        <f t="shared" si="1"/>
        <v>02/2026</v>
      </c>
      <c r="D38" s="41" t="s">
        <v>37</v>
      </c>
      <c r="E38" s="42">
        <v>250.0</v>
      </c>
      <c r="F38" s="41">
        <v>52.0</v>
      </c>
      <c r="G38" s="43">
        <f t="shared" si="2"/>
        <v>52</v>
      </c>
    </row>
    <row r="39">
      <c r="A39" s="64"/>
      <c r="B39" s="39">
        <v>46072.0</v>
      </c>
      <c r="C39" s="40" t="str">
        <f t="shared" si="1"/>
        <v>02/2026</v>
      </c>
      <c r="D39" s="41" t="s">
        <v>37</v>
      </c>
      <c r="E39" s="42">
        <v>250.0</v>
      </c>
      <c r="F39" s="41">
        <v>52.0</v>
      </c>
      <c r="G39" s="43">
        <f t="shared" si="2"/>
        <v>52</v>
      </c>
    </row>
    <row r="40">
      <c r="A40" s="64"/>
      <c r="B40" s="39">
        <v>46073.0</v>
      </c>
      <c r="C40" s="40" t="str">
        <f t="shared" si="1"/>
        <v>02/2026</v>
      </c>
      <c r="D40" s="41" t="s">
        <v>37</v>
      </c>
      <c r="E40" s="42">
        <v>250.0</v>
      </c>
      <c r="F40" s="41">
        <v>52.0</v>
      </c>
      <c r="G40" s="43">
        <f t="shared" si="2"/>
        <v>52</v>
      </c>
    </row>
    <row r="41">
      <c r="A41" s="64"/>
      <c r="B41" s="39">
        <v>46074.0</v>
      </c>
      <c r="C41" s="40" t="str">
        <f t="shared" si="1"/>
        <v>02/2026</v>
      </c>
      <c r="D41" s="41" t="s">
        <v>37</v>
      </c>
      <c r="E41" s="42">
        <v>250.0</v>
      </c>
      <c r="F41" s="41">
        <v>52.0</v>
      </c>
      <c r="G41" s="43">
        <f t="shared" si="2"/>
        <v>52</v>
      </c>
    </row>
    <row r="42">
      <c r="A42" s="64"/>
      <c r="B42" s="39">
        <v>46076.0</v>
      </c>
      <c r="C42" s="40" t="str">
        <f t="shared" si="1"/>
        <v>02/2026</v>
      </c>
      <c r="D42" s="41" t="s">
        <v>39</v>
      </c>
      <c r="E42" s="42">
        <v>2500.0</v>
      </c>
      <c r="F42" s="41">
        <v>52.0</v>
      </c>
      <c r="G42" s="43">
        <f t="shared" si="2"/>
        <v>520</v>
      </c>
    </row>
    <row r="43">
      <c r="A43" s="64"/>
      <c r="B43" s="66">
        <v>46077.0</v>
      </c>
      <c r="C43" s="40" t="str">
        <f t="shared" si="1"/>
        <v>02/2026</v>
      </c>
      <c r="D43" s="41" t="s">
        <v>37</v>
      </c>
      <c r="E43" s="42">
        <v>250.0</v>
      </c>
      <c r="F43" s="41">
        <v>52.0</v>
      </c>
      <c r="G43" s="43">
        <f t="shared" si="2"/>
        <v>52</v>
      </c>
    </row>
    <row r="44">
      <c r="A44" s="64"/>
      <c r="B44" s="39">
        <v>46078.0</v>
      </c>
      <c r="C44" s="40" t="str">
        <f t="shared" si="1"/>
        <v>02/2026</v>
      </c>
      <c r="D44" s="41" t="s">
        <v>37</v>
      </c>
      <c r="E44" s="42">
        <v>250.0</v>
      </c>
      <c r="F44" s="41">
        <v>52.0</v>
      </c>
      <c r="G44" s="43">
        <f t="shared" si="2"/>
        <v>52</v>
      </c>
    </row>
    <row r="45">
      <c r="A45" s="64"/>
      <c r="B45" s="39">
        <v>46080.0</v>
      </c>
      <c r="C45" s="40" t="str">
        <f t="shared" si="1"/>
        <v>02/2026</v>
      </c>
      <c r="D45" s="41" t="s">
        <v>37</v>
      </c>
      <c r="E45" s="42">
        <v>250.0</v>
      </c>
      <c r="F45" s="41">
        <v>52.0</v>
      </c>
      <c r="G45" s="43">
        <f t="shared" si="2"/>
        <v>52</v>
      </c>
    </row>
    <row r="46">
      <c r="A46" s="64"/>
      <c r="B46" s="39">
        <v>46081.0</v>
      </c>
      <c r="C46" s="40" t="str">
        <f t="shared" si="1"/>
        <v>02/2026</v>
      </c>
      <c r="D46" s="41" t="s">
        <v>37</v>
      </c>
      <c r="E46" s="42">
        <v>125.0</v>
      </c>
      <c r="F46" s="41">
        <v>52.0</v>
      </c>
      <c r="G46" s="43">
        <f t="shared" si="2"/>
        <v>26</v>
      </c>
    </row>
    <row r="47">
      <c r="A47" s="64"/>
      <c r="B47" s="39">
        <v>46082.0</v>
      </c>
      <c r="C47" s="40" t="str">
        <f t="shared" si="1"/>
        <v>03/2026</v>
      </c>
      <c r="D47" s="41" t="s">
        <v>37</v>
      </c>
      <c r="E47" s="42">
        <v>125.0</v>
      </c>
      <c r="F47" s="41">
        <v>52.0</v>
      </c>
      <c r="G47" s="43">
        <f t="shared" si="2"/>
        <v>26</v>
      </c>
    </row>
    <row r="48">
      <c r="A48" s="64"/>
      <c r="B48" s="39">
        <v>46084.0</v>
      </c>
      <c r="C48" s="40" t="str">
        <f t="shared" si="1"/>
        <v>03/2026</v>
      </c>
      <c r="D48" s="41" t="s">
        <v>37</v>
      </c>
      <c r="E48" s="42">
        <v>250.0</v>
      </c>
      <c r="F48" s="41">
        <v>52.0</v>
      </c>
      <c r="G48" s="43">
        <f t="shared" si="2"/>
        <v>52</v>
      </c>
    </row>
    <row r="49">
      <c r="A49" s="64"/>
      <c r="B49" s="39">
        <v>46085.0</v>
      </c>
      <c r="C49" s="40" t="str">
        <f t="shared" si="1"/>
        <v>03/2026</v>
      </c>
      <c r="D49" s="41" t="s">
        <v>37</v>
      </c>
      <c r="E49" s="42">
        <v>375.0</v>
      </c>
      <c r="F49" s="41">
        <v>52.0</v>
      </c>
      <c r="G49" s="43">
        <f t="shared" si="2"/>
        <v>78</v>
      </c>
    </row>
    <row r="50">
      <c r="A50" s="64"/>
      <c r="B50" s="39">
        <v>46086.0</v>
      </c>
      <c r="C50" s="40" t="str">
        <f t="shared" si="1"/>
        <v>03/2026</v>
      </c>
      <c r="D50" s="41" t="s">
        <v>37</v>
      </c>
      <c r="E50" s="42">
        <v>125.0</v>
      </c>
      <c r="F50" s="41">
        <v>52.0</v>
      </c>
      <c r="G50" s="43">
        <f t="shared" si="2"/>
        <v>26</v>
      </c>
    </row>
    <row r="51">
      <c r="A51" s="64"/>
      <c r="B51" s="39">
        <v>46087.0</v>
      </c>
      <c r="C51" s="40" t="str">
        <f t="shared" si="1"/>
        <v>03/2026</v>
      </c>
      <c r="D51" s="41" t="s">
        <v>37</v>
      </c>
      <c r="E51" s="42">
        <v>125.0</v>
      </c>
      <c r="F51" s="41">
        <v>51.0</v>
      </c>
      <c r="G51" s="43">
        <f t="shared" si="2"/>
        <v>25.5</v>
      </c>
    </row>
    <row r="52">
      <c r="A52" s="64"/>
      <c r="B52" s="39">
        <v>46088.0</v>
      </c>
      <c r="C52" s="40" t="str">
        <f t="shared" si="1"/>
        <v>03/2026</v>
      </c>
      <c r="D52" s="41" t="s">
        <v>37</v>
      </c>
      <c r="E52" s="42">
        <v>125.0</v>
      </c>
      <c r="F52" s="41">
        <v>51.0</v>
      </c>
      <c r="G52" s="43">
        <f t="shared" si="2"/>
        <v>25.5</v>
      </c>
    </row>
    <row r="53">
      <c r="A53" s="64"/>
      <c r="B53" s="39">
        <v>46088.0</v>
      </c>
      <c r="C53" s="40" t="str">
        <f t="shared" si="1"/>
        <v>03/2026</v>
      </c>
      <c r="D53" s="41" t="s">
        <v>38</v>
      </c>
      <c r="E53" s="42">
        <v>400.0</v>
      </c>
      <c r="F53" s="41">
        <v>51.0</v>
      </c>
      <c r="G53" s="43">
        <f t="shared" si="2"/>
        <v>81.6</v>
      </c>
    </row>
    <row r="54">
      <c r="A54" s="64"/>
      <c r="B54" s="39">
        <v>46090.0</v>
      </c>
      <c r="C54" s="40" t="str">
        <f t="shared" si="1"/>
        <v>03/2026</v>
      </c>
      <c r="D54" s="41" t="s">
        <v>37</v>
      </c>
      <c r="E54" s="42">
        <v>150.0</v>
      </c>
      <c r="F54" s="41">
        <v>51.0</v>
      </c>
      <c r="G54" s="43">
        <f t="shared" si="2"/>
        <v>30.6</v>
      </c>
    </row>
    <row r="55">
      <c r="A55" s="64"/>
      <c r="B55" s="39">
        <v>46091.0</v>
      </c>
      <c r="C55" s="40" t="str">
        <f t="shared" si="1"/>
        <v>03/2026</v>
      </c>
      <c r="D55" s="41" t="s">
        <v>37</v>
      </c>
      <c r="E55" s="42">
        <v>250.0</v>
      </c>
      <c r="F55" s="41">
        <v>51.0</v>
      </c>
      <c r="G55" s="43">
        <f t="shared" si="2"/>
        <v>51</v>
      </c>
    </row>
    <row r="56">
      <c r="A56" s="64"/>
      <c r="B56" s="39">
        <v>46092.0</v>
      </c>
      <c r="C56" s="40" t="str">
        <f t="shared" si="1"/>
        <v>03/2026</v>
      </c>
      <c r="D56" s="41" t="s">
        <v>37</v>
      </c>
      <c r="E56" s="42">
        <v>250.0</v>
      </c>
      <c r="F56" s="41">
        <v>51.0</v>
      </c>
      <c r="G56" s="43">
        <f t="shared" si="2"/>
        <v>51</v>
      </c>
    </row>
    <row r="57">
      <c r="A57" s="64"/>
      <c r="B57" s="66">
        <v>46093.0</v>
      </c>
      <c r="C57" s="40" t="str">
        <f t="shared" si="1"/>
        <v>03/2026</v>
      </c>
      <c r="D57" s="41" t="s">
        <v>37</v>
      </c>
      <c r="E57" s="42">
        <v>100.0</v>
      </c>
      <c r="F57" s="41">
        <v>51.0</v>
      </c>
      <c r="G57" s="43">
        <f t="shared" si="2"/>
        <v>20.4</v>
      </c>
    </row>
    <row r="58">
      <c r="A58" s="64"/>
      <c r="B58" s="39">
        <v>46093.0</v>
      </c>
      <c r="C58" s="40" t="str">
        <f t="shared" si="1"/>
        <v>03/2026</v>
      </c>
      <c r="D58" s="41" t="s">
        <v>38</v>
      </c>
      <c r="E58" s="42">
        <v>1025.0</v>
      </c>
      <c r="F58" s="41">
        <v>51.0</v>
      </c>
      <c r="G58" s="43">
        <f t="shared" si="2"/>
        <v>209.1</v>
      </c>
    </row>
    <row r="59">
      <c r="A59" s="64"/>
      <c r="B59" s="39">
        <v>46094.0</v>
      </c>
      <c r="C59" s="40" t="str">
        <f t="shared" si="1"/>
        <v>03/2026</v>
      </c>
      <c r="D59" s="41" t="s">
        <v>38</v>
      </c>
      <c r="E59" s="42">
        <v>200.0</v>
      </c>
      <c r="F59" s="41">
        <v>51.0</v>
      </c>
      <c r="G59" s="43">
        <f t="shared" si="2"/>
        <v>40.8</v>
      </c>
    </row>
    <row r="60">
      <c r="A60" s="64"/>
      <c r="B60" s="39">
        <v>46096.0</v>
      </c>
      <c r="C60" s="40" t="str">
        <f t="shared" si="1"/>
        <v>03/2026</v>
      </c>
      <c r="D60" s="41" t="s">
        <v>37</v>
      </c>
      <c r="E60" s="42">
        <v>250.0</v>
      </c>
      <c r="F60" s="41">
        <v>51.0</v>
      </c>
      <c r="G60" s="43">
        <f t="shared" si="2"/>
        <v>51</v>
      </c>
    </row>
    <row r="61">
      <c r="A61" s="64"/>
      <c r="B61" s="39">
        <v>46098.0</v>
      </c>
      <c r="C61" s="40" t="str">
        <f t="shared" si="1"/>
        <v>03/2026</v>
      </c>
      <c r="D61" s="41" t="s">
        <v>37</v>
      </c>
      <c r="E61" s="42">
        <v>125.0</v>
      </c>
      <c r="F61" s="41">
        <v>51.0</v>
      </c>
      <c r="G61" s="43">
        <f t="shared" si="2"/>
        <v>25.5</v>
      </c>
    </row>
    <row r="62">
      <c r="A62" s="64"/>
      <c r="B62" s="39">
        <v>46099.0</v>
      </c>
      <c r="C62" s="40" t="str">
        <f t="shared" si="1"/>
        <v>03/2026</v>
      </c>
      <c r="D62" s="41" t="s">
        <v>37</v>
      </c>
      <c r="E62" s="42">
        <v>500.0</v>
      </c>
      <c r="F62" s="41">
        <v>51.0</v>
      </c>
      <c r="G62" s="43">
        <f t="shared" si="2"/>
        <v>102</v>
      </c>
    </row>
    <row r="63">
      <c r="A63" s="64"/>
      <c r="B63" s="39">
        <v>46102.0</v>
      </c>
      <c r="C63" s="40" t="str">
        <f t="shared" si="1"/>
        <v>03/2026</v>
      </c>
      <c r="D63" s="41" t="s">
        <v>38</v>
      </c>
      <c r="E63" s="42">
        <v>1100.0</v>
      </c>
      <c r="F63" s="41">
        <v>51.0</v>
      </c>
      <c r="G63" s="43">
        <f t="shared" si="2"/>
        <v>224.4</v>
      </c>
    </row>
    <row r="64">
      <c r="A64" s="64"/>
      <c r="B64" s="39">
        <v>46102.0</v>
      </c>
      <c r="C64" s="40" t="str">
        <f t="shared" si="1"/>
        <v>03/2026</v>
      </c>
      <c r="D64" s="41" t="s">
        <v>37</v>
      </c>
      <c r="E64" s="42">
        <v>100.0</v>
      </c>
      <c r="F64" s="41">
        <v>51.0</v>
      </c>
      <c r="G64" s="43">
        <f t="shared" si="2"/>
        <v>20.4</v>
      </c>
    </row>
    <row r="65">
      <c r="A65" s="64"/>
      <c r="B65" s="39">
        <v>46102.0</v>
      </c>
      <c r="C65" s="40" t="str">
        <f t="shared" si="1"/>
        <v>03/2026</v>
      </c>
      <c r="D65" s="41" t="s">
        <v>37</v>
      </c>
      <c r="E65" s="42">
        <v>250.0</v>
      </c>
      <c r="F65" s="41">
        <v>51.0</v>
      </c>
      <c r="G65" s="43">
        <f t="shared" si="2"/>
        <v>51</v>
      </c>
    </row>
    <row r="66">
      <c r="A66" s="64"/>
      <c r="B66" s="39">
        <v>46102.0</v>
      </c>
      <c r="C66" s="40" t="str">
        <f t="shared" si="1"/>
        <v>03/2026</v>
      </c>
      <c r="D66" s="41" t="s">
        <v>39</v>
      </c>
      <c r="E66" s="42">
        <v>1500.0</v>
      </c>
      <c r="F66" s="41">
        <v>51.0</v>
      </c>
      <c r="G66" s="43">
        <f t="shared" si="2"/>
        <v>306</v>
      </c>
    </row>
    <row r="67">
      <c r="A67" s="64"/>
      <c r="B67" s="39">
        <v>46105.0</v>
      </c>
      <c r="C67" s="40" t="str">
        <f t="shared" si="1"/>
        <v>03/2026</v>
      </c>
      <c r="D67" s="41" t="s">
        <v>37</v>
      </c>
      <c r="E67" s="42">
        <v>500.0</v>
      </c>
      <c r="F67" s="41">
        <v>51.0</v>
      </c>
      <c r="G67" s="43">
        <f t="shared" si="2"/>
        <v>102</v>
      </c>
    </row>
    <row r="68">
      <c r="A68" s="64"/>
      <c r="B68" s="39">
        <v>46106.0</v>
      </c>
      <c r="C68" s="40" t="str">
        <f t="shared" si="1"/>
        <v>03/2026</v>
      </c>
      <c r="D68" s="41" t="s">
        <v>37</v>
      </c>
      <c r="E68" s="42">
        <v>250.0</v>
      </c>
      <c r="F68" s="41">
        <v>51.0</v>
      </c>
      <c r="G68" s="43">
        <f t="shared" si="2"/>
        <v>51</v>
      </c>
    </row>
    <row r="69">
      <c r="A69" s="64"/>
      <c r="B69" s="39">
        <v>46109.0</v>
      </c>
      <c r="C69" s="40" t="str">
        <f t="shared" si="1"/>
        <v>03/2026</v>
      </c>
      <c r="D69" s="41" t="s">
        <v>37</v>
      </c>
      <c r="E69" s="42">
        <v>500.0</v>
      </c>
      <c r="F69" s="41">
        <v>51.0</v>
      </c>
      <c r="G69" s="43">
        <f t="shared" si="2"/>
        <v>102</v>
      </c>
    </row>
    <row r="70">
      <c r="A70" s="64"/>
      <c r="B70" s="39">
        <v>46109.0</v>
      </c>
      <c r="C70" s="40" t="str">
        <f t="shared" si="1"/>
        <v>03/2026</v>
      </c>
      <c r="D70" s="41" t="s">
        <v>39</v>
      </c>
      <c r="E70" s="42">
        <v>1500.0</v>
      </c>
      <c r="F70" s="41">
        <v>51.0</v>
      </c>
      <c r="G70" s="43">
        <f t="shared" si="2"/>
        <v>306</v>
      </c>
    </row>
    <row r="71">
      <c r="A71" s="64"/>
      <c r="B71" s="39">
        <v>46112.0</v>
      </c>
      <c r="C71" s="40" t="str">
        <f t="shared" si="1"/>
        <v>03/2026</v>
      </c>
      <c r="D71" s="41" t="s">
        <v>37</v>
      </c>
      <c r="E71" s="42">
        <v>500.0</v>
      </c>
      <c r="F71" s="41">
        <v>51.0</v>
      </c>
      <c r="G71" s="43">
        <f t="shared" si="2"/>
        <v>102</v>
      </c>
    </row>
    <row r="72">
      <c r="A72" s="64"/>
      <c r="B72" s="64"/>
      <c r="C72" s="67"/>
      <c r="D72" s="14"/>
      <c r="E72" s="56"/>
      <c r="F72" s="52"/>
      <c r="G72" s="55"/>
    </row>
    <row r="73">
      <c r="A73" s="64"/>
      <c r="B73" s="64"/>
      <c r="C73" s="67"/>
      <c r="D73" s="14"/>
      <c r="E73" s="56"/>
      <c r="F73" s="52"/>
      <c r="G73" s="55"/>
    </row>
    <row r="74">
      <c r="A74" s="64"/>
      <c r="B74" s="64"/>
      <c r="C74" s="67"/>
      <c r="D74" s="14"/>
      <c r="E74" s="56"/>
      <c r="F74" s="52"/>
      <c r="G74" s="55"/>
    </row>
    <row r="75">
      <c r="A75" s="64"/>
      <c r="B75" s="64"/>
      <c r="C75" s="67"/>
      <c r="D75" s="14"/>
      <c r="E75" s="56"/>
      <c r="F75" s="52"/>
      <c r="G75" s="55"/>
    </row>
    <row r="76">
      <c r="A76" s="64"/>
      <c r="B76" s="64"/>
      <c r="C76" s="67"/>
      <c r="D76" s="14"/>
      <c r="E76" s="56"/>
      <c r="F76" s="52"/>
      <c r="G76" s="55"/>
    </row>
    <row r="77">
      <c r="A77" s="64"/>
      <c r="B77" s="64"/>
      <c r="C77" s="67"/>
      <c r="D77" s="14"/>
      <c r="E77" s="56"/>
      <c r="F77" s="52"/>
      <c r="G77" s="55"/>
    </row>
    <row r="78">
      <c r="A78" s="64"/>
      <c r="B78" s="64"/>
      <c r="C78" s="67"/>
      <c r="D78" s="14"/>
      <c r="E78" s="56"/>
      <c r="F78" s="52"/>
      <c r="G78" s="55"/>
    </row>
    <row r="79">
      <c r="A79" s="64"/>
      <c r="B79" s="64"/>
      <c r="C79" s="67"/>
      <c r="D79" s="14"/>
      <c r="E79" s="56"/>
      <c r="F79" s="52"/>
      <c r="G79" s="55"/>
    </row>
    <row r="80">
      <c r="A80" s="64"/>
      <c r="B80" s="64"/>
      <c r="C80" s="67"/>
      <c r="D80" s="14"/>
      <c r="E80" s="56"/>
      <c r="F80" s="52"/>
      <c r="G80" s="55"/>
    </row>
    <row r="81">
      <c r="A81" s="64"/>
      <c r="B81" s="64"/>
      <c r="C81" s="67"/>
      <c r="D81" s="14"/>
      <c r="E81" s="56"/>
      <c r="F81" s="52"/>
      <c r="G81" s="55"/>
    </row>
    <row r="82">
      <c r="A82" s="64"/>
      <c r="B82" s="64"/>
      <c r="C82" s="67"/>
      <c r="D82" s="14"/>
      <c r="E82" s="56"/>
      <c r="F82" s="52"/>
      <c r="G82" s="55"/>
    </row>
    <row r="83">
      <c r="A83" s="64"/>
      <c r="B83" s="64"/>
      <c r="C83" s="67"/>
      <c r="D83" s="14"/>
      <c r="E83" s="56"/>
      <c r="F83" s="52"/>
      <c r="G83" s="55"/>
    </row>
    <row r="84">
      <c r="A84" s="64"/>
      <c r="B84" s="64"/>
      <c r="C84" s="67"/>
      <c r="D84" s="14"/>
      <c r="E84" s="56"/>
      <c r="F84" s="52"/>
      <c r="G84" s="55"/>
    </row>
    <row r="85">
      <c r="A85" s="64"/>
      <c r="B85" s="64"/>
      <c r="C85" s="67"/>
      <c r="D85" s="14"/>
      <c r="E85" s="56"/>
      <c r="F85" s="52"/>
      <c r="G85" s="55"/>
    </row>
    <row r="86">
      <c r="A86" s="64"/>
      <c r="B86" s="64"/>
      <c r="C86" s="67"/>
      <c r="D86" s="14"/>
      <c r="E86" s="56"/>
      <c r="F86" s="52"/>
      <c r="G86" s="55"/>
    </row>
    <row r="87">
      <c r="A87" s="64"/>
      <c r="B87" s="64"/>
      <c r="C87" s="67"/>
      <c r="D87" s="14"/>
      <c r="E87" s="56"/>
      <c r="F87" s="52"/>
      <c r="G87" s="55"/>
    </row>
    <row r="88">
      <c r="A88" s="64"/>
      <c r="B88" s="64"/>
      <c r="C88" s="67"/>
      <c r="D88" s="14"/>
      <c r="E88" s="56"/>
      <c r="F88" s="52"/>
      <c r="G88" s="55"/>
    </row>
    <row r="89">
      <c r="A89" s="64"/>
      <c r="B89" s="64"/>
      <c r="C89" s="67"/>
      <c r="D89" s="14"/>
      <c r="E89" s="56"/>
      <c r="F89" s="52"/>
      <c r="G89" s="55"/>
    </row>
    <row r="90">
      <c r="A90" s="64"/>
      <c r="B90" s="64"/>
      <c r="C90" s="67"/>
      <c r="D90" s="14"/>
      <c r="E90" s="56"/>
      <c r="F90" s="52"/>
      <c r="G90" s="55"/>
    </row>
    <row r="91">
      <c r="A91" s="64"/>
      <c r="B91" s="64"/>
      <c r="C91" s="67"/>
      <c r="D91" s="14"/>
      <c r="E91" s="56"/>
      <c r="F91" s="52"/>
      <c r="G91" s="55"/>
    </row>
    <row r="92">
      <c r="A92" s="64"/>
      <c r="B92" s="64"/>
      <c r="C92" s="67"/>
      <c r="D92" s="14"/>
      <c r="E92" s="56"/>
      <c r="F92" s="52"/>
      <c r="G92" s="55"/>
    </row>
    <row r="93">
      <c r="A93" s="64"/>
      <c r="B93" s="64"/>
      <c r="C93" s="67"/>
      <c r="D93" s="14"/>
      <c r="E93" s="56"/>
      <c r="F93" s="52"/>
      <c r="G93" s="55"/>
    </row>
    <row r="94">
      <c r="A94" s="64"/>
      <c r="B94" s="64"/>
      <c r="C94" s="67"/>
      <c r="D94" s="14"/>
      <c r="E94" s="56"/>
      <c r="F94" s="52"/>
      <c r="G94" s="55"/>
    </row>
    <row r="95">
      <c r="A95" s="64"/>
      <c r="B95" s="64"/>
      <c r="C95" s="67"/>
      <c r="D95" s="14"/>
      <c r="E95" s="56"/>
      <c r="F95" s="52"/>
      <c r="G95" s="55"/>
    </row>
    <row r="96">
      <c r="A96" s="64"/>
      <c r="B96" s="64"/>
      <c r="C96" s="67"/>
      <c r="D96" s="14"/>
      <c r="E96" s="56"/>
      <c r="F96" s="52"/>
      <c r="G96" s="55"/>
    </row>
    <row r="97">
      <c r="A97" s="64"/>
      <c r="B97" s="64"/>
      <c r="C97" s="67"/>
      <c r="D97" s="14"/>
      <c r="E97" s="56"/>
      <c r="F97" s="52"/>
      <c r="G97" s="55"/>
    </row>
    <row r="98">
      <c r="A98" s="64"/>
      <c r="B98" s="64"/>
      <c r="C98" s="67"/>
      <c r="D98" s="14"/>
      <c r="E98" s="56"/>
      <c r="F98" s="52"/>
      <c r="G98" s="55"/>
    </row>
    <row r="99">
      <c r="A99" s="64"/>
      <c r="B99" s="64"/>
      <c r="C99" s="67"/>
      <c r="D99" s="14"/>
      <c r="E99" s="56"/>
      <c r="F99" s="52"/>
      <c r="G99" s="55"/>
    </row>
    <row r="100">
      <c r="A100" s="64"/>
      <c r="B100" s="64"/>
      <c r="C100" s="67"/>
      <c r="D100" s="14"/>
      <c r="E100" s="56"/>
      <c r="F100" s="52"/>
      <c r="G100" s="55"/>
    </row>
    <row r="101">
      <c r="A101" s="64"/>
      <c r="B101" s="64"/>
      <c r="C101" s="67"/>
      <c r="D101" s="14"/>
      <c r="E101" s="56"/>
      <c r="F101" s="52"/>
      <c r="G101" s="55"/>
    </row>
    <row r="102">
      <c r="A102" s="64"/>
      <c r="B102" s="64"/>
      <c r="C102" s="67"/>
      <c r="D102" s="14"/>
      <c r="E102" s="56"/>
      <c r="F102" s="52"/>
      <c r="G102" s="55"/>
    </row>
    <row r="103">
      <c r="A103" s="64"/>
      <c r="B103" s="64"/>
      <c r="C103" s="67"/>
      <c r="D103" s="14"/>
      <c r="E103" s="56"/>
      <c r="F103" s="52"/>
      <c r="G103" s="55"/>
    </row>
    <row r="104">
      <c r="A104" s="64"/>
      <c r="B104" s="64"/>
      <c r="C104" s="67"/>
      <c r="D104" s="14"/>
      <c r="E104" s="56"/>
      <c r="F104" s="52"/>
      <c r="G104" s="55"/>
    </row>
    <row r="105">
      <c r="A105" s="64"/>
      <c r="B105" s="64"/>
      <c r="C105" s="67"/>
      <c r="D105" s="14"/>
      <c r="E105" s="56"/>
      <c r="F105" s="52"/>
      <c r="G105" s="55"/>
    </row>
    <row r="106">
      <c r="A106" s="64"/>
      <c r="B106" s="64"/>
      <c r="C106" s="67"/>
      <c r="D106" s="14"/>
      <c r="E106" s="56"/>
      <c r="F106" s="52"/>
      <c r="G106" s="55"/>
    </row>
    <row r="107">
      <c r="A107" s="64"/>
      <c r="B107" s="64"/>
      <c r="C107" s="67"/>
      <c r="D107" s="14"/>
      <c r="E107" s="56"/>
      <c r="F107" s="52"/>
      <c r="G107" s="55"/>
    </row>
    <row r="108">
      <c r="A108" s="64"/>
      <c r="B108" s="64"/>
      <c r="C108" s="67"/>
      <c r="D108" s="14"/>
      <c r="E108" s="56"/>
      <c r="F108" s="52"/>
      <c r="G108" s="55"/>
    </row>
    <row r="109">
      <c r="A109" s="64"/>
      <c r="B109" s="64"/>
      <c r="C109" s="67"/>
      <c r="D109" s="14"/>
      <c r="E109" s="56"/>
      <c r="F109" s="52"/>
      <c r="G109" s="55"/>
    </row>
    <row r="110">
      <c r="A110" s="64"/>
      <c r="B110" s="64"/>
      <c r="C110" s="67"/>
      <c r="D110" s="14"/>
      <c r="E110" s="56"/>
      <c r="F110" s="52"/>
      <c r="G110" s="55"/>
    </row>
    <row r="111">
      <c r="A111" s="64"/>
      <c r="B111" s="64"/>
      <c r="C111" s="67"/>
      <c r="D111" s="14"/>
      <c r="E111" s="56"/>
      <c r="F111" s="52"/>
      <c r="G111" s="55"/>
    </row>
    <row r="112">
      <c r="A112" s="64"/>
      <c r="B112" s="64"/>
      <c r="C112" s="67"/>
      <c r="D112" s="14"/>
      <c r="E112" s="56"/>
      <c r="F112" s="52"/>
      <c r="G112" s="55"/>
    </row>
    <row r="113">
      <c r="A113" s="64"/>
      <c r="B113" s="64"/>
      <c r="C113" s="67"/>
      <c r="D113" s="14"/>
      <c r="E113" s="56"/>
      <c r="F113" s="52"/>
      <c r="G113" s="55"/>
    </row>
    <row r="114">
      <c r="A114" s="64"/>
      <c r="B114" s="64"/>
      <c r="C114" s="67"/>
      <c r="D114" s="14"/>
      <c r="E114" s="56"/>
      <c r="F114" s="52"/>
      <c r="G114" s="55"/>
    </row>
    <row r="115">
      <c r="A115" s="64"/>
      <c r="B115" s="64"/>
      <c r="C115" s="67"/>
      <c r="D115" s="14"/>
      <c r="E115" s="56"/>
      <c r="F115" s="52"/>
      <c r="G115" s="55"/>
    </row>
    <row r="116">
      <c r="A116" s="64"/>
      <c r="B116" s="64"/>
      <c r="C116" s="67"/>
      <c r="D116" s="14"/>
      <c r="E116" s="56"/>
      <c r="F116" s="52"/>
      <c r="G116" s="55"/>
    </row>
    <row r="117">
      <c r="A117" s="64"/>
      <c r="B117" s="64"/>
      <c r="C117" s="67"/>
      <c r="D117" s="14"/>
      <c r="E117" s="56"/>
      <c r="F117" s="52"/>
      <c r="G117" s="55"/>
    </row>
    <row r="118">
      <c r="A118" s="64"/>
      <c r="B118" s="64"/>
      <c r="C118" s="67"/>
      <c r="D118" s="14"/>
      <c r="E118" s="56"/>
      <c r="F118" s="52"/>
      <c r="G118" s="55"/>
    </row>
    <row r="119">
      <c r="A119" s="64"/>
      <c r="B119" s="64"/>
      <c r="C119" s="67"/>
      <c r="D119" s="14"/>
      <c r="E119" s="56"/>
      <c r="F119" s="52"/>
      <c r="G119" s="55"/>
    </row>
    <row r="120">
      <c r="A120" s="64"/>
      <c r="B120" s="64"/>
      <c r="C120" s="67"/>
      <c r="D120" s="14"/>
      <c r="E120" s="56"/>
      <c r="F120" s="52"/>
      <c r="G120" s="55"/>
    </row>
    <row r="121">
      <c r="A121" s="64"/>
      <c r="B121" s="64"/>
      <c r="C121" s="67"/>
      <c r="D121" s="14"/>
      <c r="E121" s="56"/>
      <c r="F121" s="52"/>
      <c r="G121" s="55"/>
    </row>
    <row r="122">
      <c r="A122" s="64"/>
      <c r="B122" s="64"/>
      <c r="C122" s="67"/>
      <c r="D122" s="14"/>
      <c r="E122" s="56"/>
      <c r="F122" s="52"/>
      <c r="G122" s="55"/>
    </row>
    <row r="123">
      <c r="A123" s="64"/>
      <c r="B123" s="64"/>
      <c r="C123" s="67"/>
      <c r="D123" s="14"/>
      <c r="E123" s="56"/>
      <c r="F123" s="52"/>
      <c r="G123" s="55"/>
    </row>
    <row r="124">
      <c r="A124" s="64"/>
      <c r="B124" s="64"/>
      <c r="C124" s="67"/>
      <c r="D124" s="14"/>
      <c r="E124" s="56"/>
      <c r="F124" s="52"/>
      <c r="G124" s="55"/>
    </row>
    <row r="125">
      <c r="A125" s="64"/>
      <c r="B125" s="64"/>
      <c r="C125" s="67"/>
      <c r="D125" s="14"/>
      <c r="E125" s="56"/>
      <c r="F125" s="52"/>
      <c r="G125" s="55"/>
    </row>
    <row r="126">
      <c r="A126" s="64"/>
      <c r="B126" s="64"/>
      <c r="C126" s="67"/>
      <c r="D126" s="14"/>
      <c r="E126" s="56"/>
      <c r="F126" s="52"/>
      <c r="G126" s="55"/>
    </row>
    <row r="127">
      <c r="A127" s="64"/>
      <c r="B127" s="64"/>
      <c r="C127" s="67"/>
      <c r="D127" s="14"/>
      <c r="E127" s="56"/>
      <c r="F127" s="52"/>
      <c r="G127" s="55"/>
    </row>
    <row r="128">
      <c r="A128" s="64"/>
      <c r="B128" s="64"/>
      <c r="C128" s="67"/>
      <c r="D128" s="14"/>
      <c r="E128" s="56"/>
      <c r="F128" s="52"/>
      <c r="G128" s="55"/>
    </row>
    <row r="129">
      <c r="A129" s="64"/>
      <c r="B129" s="64"/>
      <c r="C129" s="67"/>
      <c r="D129" s="14"/>
      <c r="E129" s="56"/>
      <c r="F129" s="52"/>
      <c r="G129" s="55"/>
    </row>
    <row r="130">
      <c r="A130" s="64"/>
      <c r="B130" s="64"/>
      <c r="C130" s="67"/>
      <c r="D130" s="14"/>
      <c r="E130" s="56"/>
      <c r="F130" s="52"/>
      <c r="G130" s="55"/>
    </row>
    <row r="131">
      <c r="A131" s="64"/>
      <c r="B131" s="64"/>
      <c r="C131" s="67"/>
      <c r="D131" s="14"/>
      <c r="E131" s="56"/>
      <c r="F131" s="52"/>
      <c r="G131" s="55"/>
    </row>
    <row r="132">
      <c r="A132" s="64"/>
      <c r="B132" s="64"/>
      <c r="C132" s="67"/>
      <c r="D132" s="14"/>
      <c r="E132" s="56"/>
      <c r="F132" s="52"/>
      <c r="G132" s="55"/>
    </row>
    <row r="133">
      <c r="A133" s="64"/>
      <c r="B133" s="64"/>
      <c r="C133" s="67"/>
      <c r="D133" s="14"/>
      <c r="E133" s="56"/>
      <c r="F133" s="52"/>
      <c r="G133" s="55"/>
    </row>
    <row r="134">
      <c r="A134" s="64"/>
      <c r="B134" s="64"/>
      <c r="C134" s="67"/>
      <c r="D134" s="14"/>
      <c r="E134" s="56"/>
      <c r="F134" s="52"/>
      <c r="G134" s="55"/>
    </row>
    <row r="135">
      <c r="A135" s="64"/>
      <c r="B135" s="64"/>
      <c r="C135" s="67"/>
      <c r="D135" s="14"/>
      <c r="E135" s="56"/>
      <c r="F135" s="52"/>
      <c r="G135" s="55"/>
    </row>
    <row r="136">
      <c r="A136" s="64"/>
      <c r="B136" s="64"/>
      <c r="C136" s="67"/>
      <c r="D136" s="14"/>
      <c r="E136" s="56"/>
      <c r="F136" s="52"/>
      <c r="G136" s="55"/>
    </row>
    <row r="137">
      <c r="A137" s="64"/>
      <c r="B137" s="64"/>
      <c r="C137" s="67"/>
      <c r="D137" s="14"/>
      <c r="E137" s="56"/>
      <c r="F137" s="52"/>
      <c r="G137" s="55"/>
    </row>
    <row r="138">
      <c r="A138" s="64"/>
      <c r="B138" s="64"/>
      <c r="C138" s="67"/>
      <c r="D138" s="14"/>
      <c r="E138" s="56"/>
      <c r="F138" s="52"/>
      <c r="G138" s="55"/>
    </row>
    <row r="139">
      <c r="A139" s="64"/>
      <c r="B139" s="64"/>
      <c r="C139" s="67"/>
      <c r="D139" s="14"/>
      <c r="E139" s="56"/>
      <c r="F139" s="52"/>
      <c r="G139" s="55"/>
    </row>
    <row r="140">
      <c r="A140" s="64"/>
      <c r="B140" s="64"/>
      <c r="C140" s="67"/>
      <c r="D140" s="14"/>
      <c r="E140" s="56"/>
      <c r="F140" s="52"/>
      <c r="G140" s="55"/>
    </row>
    <row r="141">
      <c r="A141" s="64"/>
      <c r="B141" s="64"/>
      <c r="C141" s="67"/>
      <c r="D141" s="14"/>
      <c r="E141" s="56"/>
      <c r="F141" s="52"/>
      <c r="G141" s="55"/>
    </row>
    <row r="142">
      <c r="A142" s="64"/>
      <c r="B142" s="64"/>
      <c r="C142" s="67"/>
      <c r="D142" s="14"/>
      <c r="E142" s="56"/>
      <c r="F142" s="52"/>
      <c r="G142" s="55"/>
    </row>
    <row r="143">
      <c r="A143" s="64"/>
      <c r="B143" s="64"/>
      <c r="C143" s="67"/>
      <c r="D143" s="14"/>
      <c r="E143" s="56"/>
      <c r="F143" s="52"/>
      <c r="G143" s="55"/>
    </row>
    <row r="144">
      <c r="A144" s="64"/>
      <c r="B144" s="64"/>
      <c r="C144" s="67"/>
      <c r="D144" s="14"/>
      <c r="E144" s="56"/>
      <c r="F144" s="52"/>
      <c r="G144" s="55"/>
    </row>
    <row r="145">
      <c r="A145" s="64"/>
      <c r="B145" s="64"/>
      <c r="C145" s="67"/>
      <c r="D145" s="14"/>
      <c r="E145" s="56"/>
      <c r="F145" s="52"/>
      <c r="G145" s="55"/>
    </row>
    <row r="146">
      <c r="A146" s="64"/>
      <c r="B146" s="64"/>
      <c r="C146" s="67"/>
      <c r="D146" s="14"/>
      <c r="E146" s="56"/>
      <c r="F146" s="52"/>
      <c r="G146" s="55"/>
    </row>
    <row r="147">
      <c r="A147" s="64"/>
      <c r="B147" s="64"/>
      <c r="C147" s="67"/>
      <c r="D147" s="14"/>
      <c r="E147" s="56"/>
      <c r="F147" s="52"/>
      <c r="G147" s="55"/>
    </row>
    <row r="148">
      <c r="A148" s="64"/>
      <c r="B148" s="64"/>
      <c r="C148" s="67"/>
      <c r="D148" s="14"/>
      <c r="E148" s="56"/>
      <c r="F148" s="52"/>
      <c r="G148" s="55"/>
    </row>
    <row r="149">
      <c r="A149" s="64"/>
      <c r="B149" s="64"/>
      <c r="C149" s="67"/>
      <c r="D149" s="14"/>
      <c r="E149" s="56"/>
      <c r="F149" s="52"/>
      <c r="G149" s="55"/>
    </row>
    <row r="150">
      <c r="A150" s="64"/>
      <c r="B150" s="64"/>
      <c r="C150" s="67"/>
      <c r="D150" s="14"/>
      <c r="E150" s="56"/>
      <c r="F150" s="52"/>
      <c r="G150" s="55"/>
    </row>
    <row r="151">
      <c r="A151" s="64"/>
      <c r="B151" s="64"/>
      <c r="C151" s="67"/>
      <c r="D151" s="14"/>
      <c r="E151" s="56"/>
      <c r="F151" s="52"/>
      <c r="G151" s="55"/>
    </row>
    <row r="152">
      <c r="A152" s="64"/>
      <c r="B152" s="64"/>
      <c r="C152" s="67"/>
      <c r="D152" s="14"/>
      <c r="E152" s="56"/>
      <c r="F152" s="52"/>
      <c r="G152" s="55"/>
    </row>
    <row r="153">
      <c r="A153" s="64"/>
      <c r="B153" s="64"/>
      <c r="C153" s="67"/>
      <c r="D153" s="14"/>
      <c r="E153" s="56"/>
      <c r="F153" s="52"/>
      <c r="G153" s="55"/>
    </row>
    <row r="154">
      <c r="A154" s="64"/>
      <c r="B154" s="64"/>
      <c r="C154" s="67"/>
      <c r="D154" s="14"/>
      <c r="E154" s="56"/>
      <c r="F154" s="52"/>
      <c r="G154" s="55"/>
    </row>
    <row r="155">
      <c r="A155" s="64"/>
      <c r="B155" s="64"/>
      <c r="C155" s="67"/>
      <c r="D155" s="14"/>
      <c r="E155" s="56"/>
      <c r="F155" s="52"/>
      <c r="G155" s="55"/>
    </row>
    <row r="156">
      <c r="A156" s="64"/>
      <c r="B156" s="64"/>
      <c r="C156" s="67"/>
      <c r="D156" s="14"/>
      <c r="E156" s="56"/>
      <c r="F156" s="52"/>
      <c r="G156" s="55"/>
    </row>
    <row r="157">
      <c r="A157" s="64"/>
      <c r="B157" s="64"/>
      <c r="C157" s="67"/>
      <c r="D157" s="14"/>
      <c r="E157" s="56"/>
      <c r="F157" s="52"/>
      <c r="G157" s="55"/>
    </row>
    <row r="158">
      <c r="A158" s="64"/>
      <c r="B158" s="64"/>
      <c r="C158" s="67"/>
      <c r="D158" s="14"/>
      <c r="E158" s="56"/>
      <c r="F158" s="52"/>
      <c r="G158" s="55"/>
    </row>
    <row r="159">
      <c r="A159" s="64"/>
      <c r="B159" s="64"/>
      <c r="C159" s="67"/>
      <c r="D159" s="14"/>
      <c r="E159" s="56"/>
      <c r="F159" s="52"/>
      <c r="G159" s="55"/>
    </row>
    <row r="160">
      <c r="A160" s="64"/>
      <c r="B160" s="64"/>
      <c r="C160" s="67"/>
      <c r="D160" s="14"/>
      <c r="E160" s="56"/>
      <c r="F160" s="52"/>
      <c r="G160" s="55"/>
    </row>
    <row r="161">
      <c r="A161" s="64"/>
      <c r="B161" s="64"/>
      <c r="C161" s="67"/>
      <c r="D161" s="14"/>
      <c r="E161" s="56"/>
      <c r="F161" s="52"/>
      <c r="G161" s="55"/>
    </row>
    <row r="162">
      <c r="A162" s="64"/>
      <c r="B162" s="64"/>
      <c r="C162" s="67"/>
      <c r="D162" s="14"/>
      <c r="E162" s="56"/>
      <c r="F162" s="52"/>
      <c r="G162" s="55"/>
    </row>
    <row r="163">
      <c r="A163" s="64"/>
      <c r="B163" s="64"/>
      <c r="C163" s="67"/>
      <c r="D163" s="14"/>
      <c r="E163" s="56"/>
      <c r="F163" s="52"/>
      <c r="G163" s="55"/>
    </row>
    <row r="164">
      <c r="A164" s="64"/>
      <c r="B164" s="64"/>
      <c r="C164" s="67"/>
      <c r="D164" s="14"/>
      <c r="E164" s="56"/>
      <c r="F164" s="52"/>
      <c r="G164" s="55"/>
    </row>
    <row r="165">
      <c r="A165" s="64"/>
      <c r="B165" s="64"/>
      <c r="C165" s="67"/>
      <c r="D165" s="14"/>
      <c r="E165" s="56"/>
      <c r="F165" s="52"/>
      <c r="G165" s="55"/>
    </row>
    <row r="166">
      <c r="A166" s="64"/>
      <c r="B166" s="64"/>
      <c r="C166" s="67"/>
      <c r="D166" s="14"/>
      <c r="E166" s="56"/>
      <c r="F166" s="52"/>
      <c r="G166" s="55"/>
    </row>
    <row r="167">
      <c r="A167" s="64"/>
      <c r="B167" s="64"/>
      <c r="C167" s="67"/>
      <c r="D167" s="14"/>
      <c r="E167" s="56"/>
      <c r="F167" s="52"/>
      <c r="G167" s="55"/>
    </row>
    <row r="168">
      <c r="A168" s="64"/>
      <c r="B168" s="64"/>
      <c r="C168" s="67"/>
      <c r="D168" s="14"/>
      <c r="E168" s="56"/>
      <c r="F168" s="52"/>
      <c r="G168" s="55"/>
    </row>
    <row r="169">
      <c r="A169" s="64"/>
      <c r="B169" s="64"/>
      <c r="C169" s="67"/>
      <c r="D169" s="14"/>
      <c r="E169" s="56"/>
      <c r="F169" s="52"/>
      <c r="G169" s="55"/>
    </row>
    <row r="170">
      <c r="A170" s="64"/>
      <c r="B170" s="64"/>
      <c r="C170" s="67"/>
      <c r="D170" s="14"/>
      <c r="E170" s="56"/>
      <c r="F170" s="52"/>
      <c r="G170" s="55"/>
    </row>
    <row r="171">
      <c r="A171" s="64"/>
      <c r="B171" s="64"/>
      <c r="C171" s="67"/>
      <c r="D171" s="14"/>
      <c r="E171" s="56"/>
      <c r="F171" s="52"/>
      <c r="G171" s="55"/>
    </row>
    <row r="172">
      <c r="A172" s="64"/>
      <c r="B172" s="64"/>
      <c r="C172" s="67"/>
      <c r="D172" s="14"/>
      <c r="E172" s="56"/>
      <c r="F172" s="52"/>
      <c r="G172" s="55"/>
    </row>
    <row r="173">
      <c r="A173" s="64"/>
      <c r="B173" s="64"/>
      <c r="C173" s="67"/>
      <c r="D173" s="14"/>
      <c r="E173" s="56"/>
      <c r="F173" s="52"/>
      <c r="G173" s="55"/>
    </row>
    <row r="174">
      <c r="A174" s="64"/>
      <c r="B174" s="64"/>
      <c r="C174" s="67"/>
      <c r="D174" s="14"/>
      <c r="E174" s="56"/>
      <c r="F174" s="52"/>
      <c r="G174" s="55"/>
    </row>
    <row r="175">
      <c r="A175" s="64"/>
      <c r="B175" s="64"/>
      <c r="C175" s="67"/>
      <c r="D175" s="14"/>
      <c r="E175" s="56"/>
      <c r="F175" s="52"/>
      <c r="G175" s="55"/>
    </row>
    <row r="176">
      <c r="A176" s="64"/>
      <c r="B176" s="64"/>
      <c r="C176" s="67"/>
      <c r="D176" s="14"/>
      <c r="E176" s="56"/>
      <c r="F176" s="52"/>
      <c r="G176" s="55"/>
    </row>
    <row r="177">
      <c r="A177" s="64"/>
      <c r="B177" s="64"/>
      <c r="C177" s="67"/>
      <c r="D177" s="14"/>
      <c r="E177" s="56"/>
      <c r="F177" s="52"/>
      <c r="G177" s="55"/>
    </row>
    <row r="178">
      <c r="A178" s="64"/>
      <c r="B178" s="64"/>
      <c r="C178" s="67"/>
      <c r="D178" s="14"/>
      <c r="E178" s="56"/>
      <c r="F178" s="52"/>
      <c r="G178" s="55"/>
    </row>
    <row r="179">
      <c r="A179" s="64"/>
      <c r="B179" s="64"/>
      <c r="C179" s="67"/>
      <c r="D179" s="14"/>
      <c r="E179" s="56"/>
      <c r="F179" s="52"/>
      <c r="G179" s="55"/>
    </row>
    <row r="180">
      <c r="A180" s="64"/>
      <c r="B180" s="64"/>
      <c r="C180" s="67"/>
      <c r="D180" s="14"/>
      <c r="E180" s="56"/>
      <c r="F180" s="52"/>
      <c r="G180" s="55"/>
    </row>
    <row r="181">
      <c r="A181" s="64"/>
      <c r="B181" s="64"/>
      <c r="C181" s="67"/>
      <c r="D181" s="14"/>
      <c r="E181" s="56"/>
      <c r="F181" s="52"/>
      <c r="G181" s="55"/>
    </row>
    <row r="182">
      <c r="A182" s="64"/>
      <c r="B182" s="64"/>
      <c r="C182" s="67"/>
      <c r="D182" s="14"/>
      <c r="E182" s="56"/>
      <c r="F182" s="52"/>
      <c r="G182" s="55"/>
    </row>
    <row r="183">
      <c r="A183" s="64"/>
      <c r="B183" s="64"/>
      <c r="C183" s="67"/>
      <c r="D183" s="14"/>
      <c r="E183" s="56"/>
      <c r="F183" s="52"/>
      <c r="G183" s="55"/>
    </row>
    <row r="184">
      <c r="A184" s="64"/>
      <c r="B184" s="64"/>
      <c r="C184" s="67"/>
      <c r="D184" s="14"/>
      <c r="E184" s="56"/>
      <c r="F184" s="52"/>
      <c r="G184" s="55"/>
    </row>
    <row r="185">
      <c r="A185" s="64"/>
      <c r="B185" s="64"/>
      <c r="C185" s="67"/>
      <c r="D185" s="14"/>
      <c r="E185" s="56"/>
      <c r="F185" s="52"/>
      <c r="G185" s="55"/>
    </row>
    <row r="186">
      <c r="A186" s="64"/>
      <c r="B186" s="64"/>
      <c r="C186" s="67"/>
      <c r="D186" s="14"/>
      <c r="E186" s="56"/>
      <c r="F186" s="52"/>
      <c r="G186" s="55"/>
    </row>
    <row r="187">
      <c r="A187" s="64"/>
      <c r="B187" s="64"/>
      <c r="C187" s="67"/>
      <c r="D187" s="14"/>
      <c r="E187" s="56"/>
      <c r="F187" s="52"/>
      <c r="G187" s="55"/>
    </row>
    <row r="188">
      <c r="A188" s="64"/>
      <c r="B188" s="64"/>
      <c r="C188" s="67"/>
      <c r="D188" s="14"/>
      <c r="E188" s="56"/>
      <c r="F188" s="52"/>
      <c r="G188" s="55"/>
    </row>
    <row r="189">
      <c r="A189" s="64"/>
      <c r="B189" s="64"/>
      <c r="C189" s="67"/>
      <c r="D189" s="14"/>
      <c r="E189" s="56"/>
      <c r="F189" s="52"/>
      <c r="G189" s="55"/>
    </row>
    <row r="190">
      <c r="A190" s="64"/>
      <c r="B190" s="64"/>
      <c r="C190" s="67"/>
      <c r="D190" s="14"/>
      <c r="E190" s="56"/>
      <c r="F190" s="52"/>
      <c r="G190" s="55"/>
    </row>
    <row r="191">
      <c r="A191" s="64"/>
      <c r="B191" s="64"/>
      <c r="C191" s="67"/>
      <c r="D191" s="14"/>
      <c r="E191" s="56"/>
      <c r="F191" s="52"/>
      <c r="G191" s="55"/>
    </row>
    <row r="192">
      <c r="A192" s="64"/>
      <c r="B192" s="64"/>
      <c r="C192" s="67"/>
      <c r="D192" s="14"/>
      <c r="E192" s="56"/>
      <c r="F192" s="52"/>
      <c r="G192" s="55"/>
    </row>
    <row r="193">
      <c r="A193" s="64"/>
      <c r="B193" s="64"/>
      <c r="C193" s="67"/>
      <c r="D193" s="14"/>
      <c r="E193" s="56"/>
      <c r="F193" s="52"/>
      <c r="G193" s="55"/>
    </row>
    <row r="194">
      <c r="A194" s="64"/>
      <c r="B194" s="64"/>
      <c r="C194" s="67"/>
      <c r="D194" s="14"/>
      <c r="E194" s="56"/>
      <c r="F194" s="52"/>
      <c r="G194" s="55"/>
    </row>
    <row r="195">
      <c r="A195" s="64"/>
      <c r="B195" s="64"/>
      <c r="C195" s="67"/>
      <c r="D195" s="14"/>
      <c r="E195" s="56"/>
      <c r="F195" s="52"/>
      <c r="G195" s="55"/>
    </row>
    <row r="196">
      <c r="A196" s="64"/>
      <c r="B196" s="64"/>
      <c r="C196" s="67"/>
      <c r="D196" s="14"/>
      <c r="E196" s="56"/>
      <c r="F196" s="52"/>
      <c r="G196" s="55"/>
    </row>
    <row r="197">
      <c r="A197" s="64"/>
      <c r="B197" s="64"/>
      <c r="C197" s="67"/>
      <c r="D197" s="14"/>
      <c r="E197" s="56"/>
      <c r="F197" s="52"/>
      <c r="G197" s="55"/>
    </row>
    <row r="198">
      <c r="A198" s="64"/>
      <c r="B198" s="64"/>
      <c r="C198" s="67"/>
      <c r="D198" s="14"/>
      <c r="E198" s="56"/>
      <c r="F198" s="52"/>
      <c r="G198" s="55"/>
    </row>
    <row r="199">
      <c r="A199" s="64"/>
      <c r="B199" s="64"/>
      <c r="C199" s="67"/>
      <c r="D199" s="14"/>
      <c r="E199" s="56"/>
      <c r="F199" s="52"/>
      <c r="G199" s="55"/>
    </row>
    <row r="200">
      <c r="A200" s="64"/>
      <c r="B200" s="64"/>
      <c r="C200" s="67"/>
      <c r="D200" s="14"/>
      <c r="E200" s="56"/>
      <c r="F200" s="52"/>
      <c r="G200" s="55"/>
    </row>
    <row r="201">
      <c r="A201" s="64"/>
      <c r="B201" s="64"/>
      <c r="C201" s="67"/>
      <c r="D201" s="14"/>
      <c r="E201" s="56"/>
      <c r="F201" s="52"/>
      <c r="G201" s="55"/>
    </row>
    <row r="202">
      <c r="A202" s="64"/>
      <c r="B202" s="64"/>
      <c r="C202" s="67"/>
      <c r="D202" s="14"/>
      <c r="E202" s="56"/>
      <c r="F202" s="52"/>
      <c r="G202" s="55"/>
    </row>
    <row r="203">
      <c r="A203" s="64"/>
      <c r="B203" s="64"/>
      <c r="C203" s="67"/>
      <c r="D203" s="14"/>
      <c r="E203" s="56"/>
      <c r="F203" s="52"/>
      <c r="G203" s="55"/>
    </row>
    <row r="204">
      <c r="A204" s="64"/>
      <c r="B204" s="64"/>
      <c r="C204" s="67"/>
      <c r="D204" s="14"/>
      <c r="E204" s="56"/>
      <c r="F204" s="52"/>
      <c r="G204" s="55"/>
    </row>
    <row r="205">
      <c r="A205" s="64"/>
      <c r="B205" s="64"/>
      <c r="C205" s="67"/>
      <c r="D205" s="14"/>
      <c r="E205" s="56"/>
      <c r="F205" s="52"/>
      <c r="G205" s="55"/>
    </row>
    <row r="206">
      <c r="A206" s="64"/>
      <c r="B206" s="64"/>
      <c r="C206" s="67"/>
      <c r="D206" s="14"/>
      <c r="E206" s="56"/>
      <c r="F206" s="52"/>
      <c r="G206" s="55"/>
    </row>
    <row r="207">
      <c r="A207" s="64"/>
      <c r="B207" s="64"/>
      <c r="C207" s="67"/>
      <c r="D207" s="14"/>
      <c r="E207" s="56"/>
      <c r="F207" s="52"/>
      <c r="G207" s="55"/>
    </row>
    <row r="208">
      <c r="A208" s="64"/>
      <c r="B208" s="64"/>
      <c r="C208" s="67"/>
      <c r="D208" s="14"/>
      <c r="E208" s="56"/>
      <c r="F208" s="52"/>
      <c r="G208" s="55"/>
    </row>
    <row r="209">
      <c r="A209" s="64"/>
      <c r="B209" s="64"/>
      <c r="C209" s="67"/>
      <c r="D209" s="14"/>
      <c r="E209" s="56"/>
      <c r="F209" s="52"/>
      <c r="G209" s="55"/>
    </row>
    <row r="210">
      <c r="A210" s="64"/>
      <c r="B210" s="64"/>
      <c r="C210" s="67"/>
      <c r="D210" s="14"/>
      <c r="E210" s="56"/>
      <c r="F210" s="52"/>
      <c r="G210" s="55"/>
    </row>
    <row r="211">
      <c r="A211" s="64"/>
      <c r="B211" s="64"/>
      <c r="C211" s="67"/>
      <c r="D211" s="14"/>
      <c r="E211" s="56"/>
      <c r="F211" s="52"/>
      <c r="G211" s="55"/>
    </row>
    <row r="212">
      <c r="A212" s="64"/>
      <c r="B212" s="64"/>
      <c r="C212" s="67"/>
      <c r="D212" s="14"/>
      <c r="E212" s="56"/>
      <c r="F212" s="52"/>
      <c r="G212" s="55"/>
    </row>
    <row r="213">
      <c r="A213" s="64"/>
      <c r="B213" s="64"/>
      <c r="C213" s="67"/>
      <c r="D213" s="14"/>
      <c r="E213" s="56"/>
      <c r="F213" s="52"/>
      <c r="G213" s="55"/>
    </row>
    <row r="214">
      <c r="A214" s="64"/>
      <c r="B214" s="64"/>
      <c r="C214" s="67"/>
      <c r="D214" s="14"/>
      <c r="E214" s="56"/>
      <c r="F214" s="52"/>
      <c r="G214" s="55"/>
    </row>
    <row r="215">
      <c r="A215" s="64"/>
      <c r="B215" s="64"/>
      <c r="C215" s="67"/>
      <c r="D215" s="14"/>
      <c r="E215" s="56"/>
      <c r="F215" s="52"/>
      <c r="G215" s="55"/>
    </row>
    <row r="216">
      <c r="A216" s="64"/>
      <c r="B216" s="64"/>
      <c r="C216" s="67"/>
      <c r="D216" s="14"/>
      <c r="E216" s="56"/>
      <c r="F216" s="52"/>
      <c r="G216" s="55"/>
    </row>
    <row r="217">
      <c r="A217" s="64"/>
      <c r="B217" s="64"/>
      <c r="C217" s="67"/>
      <c r="D217" s="14"/>
      <c r="E217" s="56"/>
      <c r="F217" s="52"/>
      <c r="G217" s="55"/>
    </row>
    <row r="218">
      <c r="A218" s="64"/>
      <c r="B218" s="64"/>
      <c r="C218" s="67"/>
      <c r="D218" s="14"/>
      <c r="E218" s="56"/>
      <c r="F218" s="52"/>
      <c r="G218" s="55"/>
    </row>
    <row r="219">
      <c r="A219" s="64"/>
      <c r="B219" s="64"/>
      <c r="C219" s="67"/>
      <c r="D219" s="14"/>
      <c r="E219" s="56"/>
      <c r="F219" s="52"/>
      <c r="G219" s="55"/>
    </row>
    <row r="220">
      <c r="A220" s="64"/>
      <c r="B220" s="64"/>
      <c r="C220" s="67"/>
      <c r="D220" s="14"/>
      <c r="E220" s="56"/>
      <c r="F220" s="52"/>
      <c r="G220" s="55"/>
    </row>
    <row r="221">
      <c r="A221" s="64"/>
      <c r="B221" s="64"/>
      <c r="C221" s="67"/>
      <c r="D221" s="14"/>
      <c r="E221" s="56"/>
      <c r="F221" s="52"/>
      <c r="G221" s="55"/>
    </row>
    <row r="222">
      <c r="A222" s="64"/>
      <c r="B222" s="64"/>
      <c r="C222" s="67"/>
      <c r="D222" s="14"/>
      <c r="E222" s="56"/>
      <c r="F222" s="52"/>
      <c r="G222" s="55"/>
    </row>
    <row r="223">
      <c r="A223" s="64"/>
      <c r="B223" s="64"/>
      <c r="C223" s="67"/>
      <c r="D223" s="14"/>
      <c r="E223" s="56"/>
      <c r="F223" s="52"/>
      <c r="G223" s="55"/>
    </row>
    <row r="224">
      <c r="A224" s="64"/>
      <c r="B224" s="64"/>
      <c r="C224" s="67"/>
      <c r="D224" s="14"/>
      <c r="E224" s="56"/>
      <c r="F224" s="52"/>
      <c r="G224" s="55"/>
    </row>
    <row r="225">
      <c r="A225" s="64"/>
      <c r="B225" s="64"/>
      <c r="C225" s="67"/>
      <c r="D225" s="14"/>
      <c r="E225" s="56"/>
      <c r="F225" s="52"/>
      <c r="G225" s="55"/>
    </row>
    <row r="226">
      <c r="A226" s="64"/>
      <c r="B226" s="64"/>
      <c r="C226" s="67"/>
      <c r="D226" s="14"/>
      <c r="E226" s="56"/>
      <c r="F226" s="52"/>
      <c r="G226" s="55"/>
    </row>
    <row r="227">
      <c r="A227" s="64"/>
      <c r="B227" s="64"/>
      <c r="C227" s="67"/>
      <c r="D227" s="14"/>
      <c r="E227" s="56"/>
      <c r="F227" s="52"/>
      <c r="G227" s="55"/>
    </row>
    <row r="228">
      <c r="A228" s="64"/>
      <c r="B228" s="64"/>
      <c r="C228" s="67"/>
      <c r="D228" s="14"/>
      <c r="E228" s="56"/>
      <c r="F228" s="52"/>
      <c r="G228" s="55"/>
    </row>
    <row r="229">
      <c r="A229" s="64"/>
      <c r="B229" s="64"/>
      <c r="C229" s="67"/>
      <c r="D229" s="14"/>
      <c r="E229" s="56"/>
      <c r="F229" s="52"/>
      <c r="G229" s="55"/>
    </row>
    <row r="230">
      <c r="A230" s="64"/>
      <c r="B230" s="64"/>
      <c r="C230" s="67"/>
      <c r="D230" s="14"/>
      <c r="E230" s="56"/>
      <c r="F230" s="52"/>
      <c r="G230" s="55"/>
    </row>
    <row r="231">
      <c r="A231" s="64"/>
      <c r="B231" s="64"/>
      <c r="C231" s="67"/>
      <c r="D231" s="14"/>
      <c r="E231" s="56"/>
      <c r="F231" s="52"/>
      <c r="G231" s="55"/>
    </row>
    <row r="232">
      <c r="A232" s="64"/>
      <c r="B232" s="64"/>
      <c r="C232" s="67"/>
      <c r="D232" s="14"/>
      <c r="E232" s="56"/>
      <c r="F232" s="52"/>
      <c r="G232" s="55"/>
    </row>
    <row r="233">
      <c r="A233" s="64"/>
      <c r="B233" s="64"/>
      <c r="C233" s="67"/>
      <c r="D233" s="14"/>
      <c r="E233" s="56"/>
      <c r="F233" s="52"/>
      <c r="G233" s="55"/>
    </row>
    <row r="234">
      <c r="A234" s="64"/>
      <c r="B234" s="64"/>
      <c r="C234" s="67"/>
      <c r="D234" s="14"/>
      <c r="E234" s="56"/>
      <c r="F234" s="52"/>
      <c r="G234" s="55"/>
    </row>
    <row r="235">
      <c r="A235" s="64"/>
      <c r="B235" s="64"/>
      <c r="C235" s="67"/>
      <c r="D235" s="14"/>
      <c r="E235" s="56"/>
      <c r="F235" s="52"/>
      <c r="G235" s="55"/>
    </row>
    <row r="236">
      <c r="A236" s="64"/>
      <c r="B236" s="64"/>
      <c r="C236" s="67"/>
      <c r="D236" s="14"/>
      <c r="E236" s="56"/>
      <c r="F236" s="52"/>
      <c r="G236" s="55"/>
    </row>
    <row r="237">
      <c r="A237" s="64"/>
      <c r="B237" s="64"/>
      <c r="C237" s="67"/>
      <c r="D237" s="14"/>
      <c r="E237" s="56"/>
      <c r="F237" s="52"/>
      <c r="G237" s="55"/>
    </row>
    <row r="238">
      <c r="A238" s="64"/>
      <c r="B238" s="64"/>
      <c r="C238" s="67"/>
      <c r="D238" s="14"/>
      <c r="E238" s="56"/>
      <c r="F238" s="52"/>
      <c r="G238" s="55"/>
    </row>
    <row r="239">
      <c r="A239" s="64"/>
      <c r="B239" s="64"/>
      <c r="C239" s="67"/>
      <c r="D239" s="14"/>
      <c r="E239" s="56"/>
      <c r="F239" s="52"/>
      <c r="G239" s="55"/>
    </row>
    <row r="240">
      <c r="A240" s="64"/>
      <c r="B240" s="64"/>
      <c r="C240" s="67"/>
      <c r="D240" s="14"/>
      <c r="E240" s="56"/>
      <c r="F240" s="52"/>
      <c r="G240" s="55"/>
    </row>
    <row r="241">
      <c r="A241" s="64"/>
      <c r="B241" s="64"/>
      <c r="C241" s="67"/>
      <c r="D241" s="14"/>
      <c r="E241" s="56"/>
      <c r="F241" s="52"/>
      <c r="G241" s="55"/>
    </row>
    <row r="242">
      <c r="A242" s="64"/>
      <c r="B242" s="64"/>
      <c r="C242" s="67"/>
      <c r="D242" s="14"/>
      <c r="E242" s="56"/>
      <c r="F242" s="52"/>
      <c r="G242" s="55"/>
    </row>
    <row r="243">
      <c r="A243" s="64"/>
      <c r="B243" s="64"/>
      <c r="C243" s="67"/>
      <c r="D243" s="14"/>
      <c r="E243" s="56"/>
      <c r="F243" s="52"/>
      <c r="G243" s="55"/>
    </row>
    <row r="244">
      <c r="A244" s="64"/>
      <c r="B244" s="64"/>
      <c r="C244" s="67"/>
      <c r="D244" s="14"/>
      <c r="E244" s="56"/>
      <c r="F244" s="52"/>
      <c r="G244" s="55"/>
    </row>
    <row r="245">
      <c r="A245" s="64"/>
      <c r="B245" s="64"/>
      <c r="C245" s="67"/>
      <c r="D245" s="14"/>
      <c r="E245" s="56"/>
      <c r="F245" s="52"/>
      <c r="G245" s="55"/>
    </row>
    <row r="246">
      <c r="A246" s="64"/>
      <c r="B246" s="64"/>
      <c r="C246" s="67"/>
      <c r="D246" s="14"/>
      <c r="E246" s="56"/>
      <c r="F246" s="52"/>
      <c r="G246" s="55"/>
    </row>
    <row r="247">
      <c r="A247" s="64"/>
      <c r="B247" s="64"/>
      <c r="C247" s="67"/>
      <c r="D247" s="14"/>
      <c r="E247" s="56"/>
      <c r="F247" s="52"/>
      <c r="G247" s="55"/>
    </row>
    <row r="248">
      <c r="A248" s="64"/>
      <c r="B248" s="64"/>
      <c r="C248" s="67"/>
      <c r="D248" s="14"/>
      <c r="E248" s="56"/>
      <c r="F248" s="52"/>
      <c r="G248" s="55"/>
    </row>
    <row r="249">
      <c r="A249" s="64"/>
      <c r="B249" s="64"/>
      <c r="C249" s="67"/>
      <c r="D249" s="14"/>
      <c r="E249" s="56"/>
      <c r="F249" s="52"/>
      <c r="G249" s="55"/>
    </row>
    <row r="250">
      <c r="A250" s="64"/>
      <c r="B250" s="64"/>
      <c r="C250" s="67"/>
      <c r="D250" s="14"/>
      <c r="E250" s="56"/>
      <c r="F250" s="52"/>
      <c r="G250" s="55"/>
    </row>
    <row r="251">
      <c r="A251" s="64"/>
      <c r="B251" s="64"/>
      <c r="C251" s="67"/>
      <c r="D251" s="14"/>
      <c r="E251" s="56"/>
      <c r="F251" s="52"/>
      <c r="G251" s="55"/>
    </row>
    <row r="252">
      <c r="A252" s="64"/>
      <c r="B252" s="64"/>
      <c r="C252" s="67"/>
      <c r="D252" s="14"/>
      <c r="E252" s="56"/>
      <c r="F252" s="52"/>
      <c r="G252" s="55"/>
    </row>
    <row r="253">
      <c r="A253" s="64"/>
      <c r="B253" s="64"/>
      <c r="C253" s="67"/>
      <c r="D253" s="14"/>
      <c r="E253" s="56"/>
      <c r="F253" s="52"/>
      <c r="G253" s="55"/>
    </row>
    <row r="254">
      <c r="A254" s="64"/>
      <c r="B254" s="64"/>
      <c r="C254" s="67"/>
      <c r="D254" s="14"/>
      <c r="E254" s="56"/>
      <c r="F254" s="52"/>
      <c r="G254" s="55"/>
    </row>
    <row r="255">
      <c r="A255" s="64"/>
      <c r="B255" s="64"/>
      <c r="C255" s="67"/>
      <c r="D255" s="14"/>
      <c r="E255" s="56"/>
      <c r="F255" s="52"/>
      <c r="G255" s="55"/>
    </row>
    <row r="256">
      <c r="A256" s="64"/>
      <c r="B256" s="64"/>
      <c r="C256" s="67"/>
      <c r="D256" s="14"/>
      <c r="E256" s="56"/>
      <c r="F256" s="52"/>
      <c r="G256" s="55"/>
    </row>
    <row r="257">
      <c r="A257" s="64"/>
      <c r="B257" s="64"/>
      <c r="C257" s="67"/>
      <c r="D257" s="14"/>
      <c r="E257" s="56"/>
      <c r="F257" s="52"/>
      <c r="G257" s="55"/>
    </row>
    <row r="258">
      <c r="A258" s="64"/>
      <c r="B258" s="64"/>
      <c r="C258" s="67"/>
      <c r="D258" s="14"/>
      <c r="E258" s="56"/>
      <c r="F258" s="52"/>
      <c r="G258" s="55"/>
    </row>
    <row r="259">
      <c r="A259" s="64"/>
      <c r="B259" s="64"/>
      <c r="C259" s="67"/>
      <c r="D259" s="14"/>
      <c r="E259" s="56"/>
      <c r="F259" s="52"/>
      <c r="G259" s="55"/>
    </row>
    <row r="260">
      <c r="A260" s="64"/>
      <c r="B260" s="64"/>
      <c r="C260" s="67"/>
      <c r="D260" s="14"/>
      <c r="E260" s="56"/>
      <c r="F260" s="52"/>
      <c r="G260" s="55"/>
    </row>
    <row r="261">
      <c r="A261" s="64"/>
      <c r="B261" s="64"/>
      <c r="C261" s="67"/>
      <c r="D261" s="14"/>
      <c r="E261" s="56"/>
      <c r="F261" s="52"/>
      <c r="G261" s="55"/>
    </row>
    <row r="262">
      <c r="A262" s="64"/>
      <c r="B262" s="64"/>
      <c r="C262" s="67"/>
      <c r="D262" s="14"/>
      <c r="E262" s="56"/>
      <c r="F262" s="52"/>
      <c r="G262" s="55"/>
    </row>
    <row r="263">
      <c r="A263" s="64"/>
      <c r="B263" s="64"/>
      <c r="C263" s="67"/>
      <c r="D263" s="14"/>
      <c r="E263" s="56"/>
      <c r="F263" s="52"/>
      <c r="G263" s="55"/>
    </row>
    <row r="264">
      <c r="A264" s="64"/>
      <c r="B264" s="64"/>
      <c r="C264" s="67"/>
      <c r="D264" s="14"/>
      <c r="E264" s="56"/>
      <c r="F264" s="52"/>
      <c r="G264" s="55"/>
    </row>
    <row r="265">
      <c r="A265" s="64"/>
      <c r="B265" s="64"/>
      <c r="C265" s="67"/>
      <c r="D265" s="14"/>
      <c r="E265" s="56"/>
      <c r="F265" s="52"/>
      <c r="G265" s="55"/>
    </row>
    <row r="266">
      <c r="A266" s="64"/>
      <c r="B266" s="64"/>
      <c r="C266" s="67"/>
      <c r="D266" s="14"/>
      <c r="E266" s="56"/>
      <c r="F266" s="52"/>
      <c r="G266" s="55"/>
    </row>
    <row r="267">
      <c r="A267" s="64"/>
      <c r="B267" s="64"/>
      <c r="C267" s="67"/>
      <c r="D267" s="14"/>
      <c r="E267" s="56"/>
      <c r="F267" s="52"/>
      <c r="G267" s="55"/>
    </row>
    <row r="268">
      <c r="A268" s="64"/>
      <c r="B268" s="64"/>
      <c r="C268" s="67"/>
      <c r="D268" s="14"/>
      <c r="E268" s="56"/>
      <c r="F268" s="52"/>
      <c r="G268" s="55"/>
    </row>
    <row r="269">
      <c r="A269" s="64"/>
      <c r="B269" s="64"/>
      <c r="C269" s="67"/>
      <c r="D269" s="14"/>
      <c r="E269" s="56"/>
      <c r="F269" s="52"/>
      <c r="G269" s="55"/>
    </row>
    <row r="270">
      <c r="A270" s="64"/>
      <c r="B270" s="64"/>
      <c r="C270" s="67"/>
      <c r="D270" s="14"/>
      <c r="E270" s="56"/>
      <c r="F270" s="52"/>
      <c r="G270" s="55"/>
    </row>
    <row r="271">
      <c r="A271" s="64"/>
      <c r="B271" s="64"/>
      <c r="C271" s="67"/>
      <c r="D271" s="14"/>
      <c r="E271" s="56"/>
      <c r="F271" s="52"/>
      <c r="G271" s="55"/>
    </row>
    <row r="272">
      <c r="A272" s="64"/>
      <c r="B272" s="64"/>
      <c r="C272" s="67"/>
      <c r="D272" s="14"/>
      <c r="E272" s="56"/>
      <c r="F272" s="52"/>
      <c r="G272" s="55"/>
    </row>
    <row r="273">
      <c r="A273" s="64"/>
      <c r="B273" s="64"/>
      <c r="C273" s="67"/>
      <c r="D273" s="14"/>
      <c r="E273" s="56"/>
      <c r="F273" s="52"/>
      <c r="G273" s="55"/>
    </row>
    <row r="274">
      <c r="A274" s="64"/>
      <c r="B274" s="64"/>
      <c r="C274" s="67"/>
      <c r="D274" s="14"/>
      <c r="E274" s="56"/>
      <c r="F274" s="52"/>
      <c r="G274" s="55"/>
    </row>
    <row r="275">
      <c r="A275" s="64"/>
      <c r="B275" s="64"/>
      <c r="C275" s="67"/>
      <c r="D275" s="14"/>
      <c r="E275" s="56"/>
      <c r="F275" s="52"/>
      <c r="G275" s="55"/>
    </row>
    <row r="276">
      <c r="A276" s="64"/>
      <c r="B276" s="64"/>
      <c r="C276" s="67"/>
      <c r="D276" s="14"/>
      <c r="E276" s="56"/>
      <c r="F276" s="52"/>
      <c r="G276" s="55"/>
    </row>
    <row r="277">
      <c r="A277" s="64"/>
      <c r="B277" s="64"/>
      <c r="C277" s="67"/>
      <c r="D277" s="14"/>
      <c r="E277" s="56"/>
      <c r="F277" s="52"/>
      <c r="G277" s="55"/>
    </row>
    <row r="278">
      <c r="A278" s="64"/>
      <c r="B278" s="64"/>
      <c r="C278" s="67"/>
      <c r="D278" s="14"/>
      <c r="E278" s="56"/>
      <c r="F278" s="52"/>
      <c r="G278" s="55"/>
    </row>
    <row r="279">
      <c r="A279" s="64"/>
      <c r="B279" s="64"/>
      <c r="C279" s="67"/>
      <c r="D279" s="14"/>
      <c r="E279" s="56"/>
      <c r="F279" s="52"/>
      <c r="G279" s="55"/>
    </row>
    <row r="280">
      <c r="A280" s="64"/>
      <c r="B280" s="64"/>
      <c r="C280" s="67"/>
      <c r="D280" s="14"/>
      <c r="E280" s="56"/>
      <c r="F280" s="52"/>
      <c r="G280" s="55"/>
    </row>
    <row r="281">
      <c r="A281" s="64"/>
      <c r="B281" s="64"/>
      <c r="C281" s="67"/>
      <c r="D281" s="14"/>
      <c r="E281" s="56"/>
      <c r="F281" s="52"/>
      <c r="G281" s="55"/>
    </row>
    <row r="282">
      <c r="A282" s="64"/>
      <c r="B282" s="64"/>
      <c r="C282" s="67"/>
      <c r="D282" s="14"/>
      <c r="E282" s="56"/>
      <c r="F282" s="52"/>
      <c r="G282" s="55"/>
    </row>
    <row r="283">
      <c r="A283" s="64"/>
      <c r="B283" s="64"/>
      <c r="C283" s="67"/>
      <c r="D283" s="14"/>
      <c r="E283" s="56"/>
      <c r="F283" s="52"/>
      <c r="G283" s="55"/>
    </row>
    <row r="284">
      <c r="A284" s="64"/>
      <c r="B284" s="64"/>
      <c r="C284" s="67"/>
      <c r="D284" s="14"/>
      <c r="E284" s="56"/>
      <c r="F284" s="52"/>
      <c r="G284" s="55"/>
    </row>
    <row r="285">
      <c r="A285" s="64"/>
      <c r="B285" s="64"/>
      <c r="C285" s="67"/>
      <c r="D285" s="14"/>
      <c r="E285" s="56"/>
      <c r="F285" s="52"/>
      <c r="G285" s="55"/>
    </row>
    <row r="286">
      <c r="A286" s="64"/>
      <c r="B286" s="64"/>
      <c r="C286" s="67"/>
      <c r="D286" s="14"/>
      <c r="E286" s="56"/>
      <c r="F286" s="52"/>
      <c r="G286" s="55"/>
    </row>
    <row r="287">
      <c r="A287" s="64"/>
      <c r="B287" s="64"/>
      <c r="C287" s="67"/>
      <c r="D287" s="14"/>
      <c r="E287" s="56"/>
      <c r="F287" s="52"/>
      <c r="G287" s="55"/>
    </row>
    <row r="288">
      <c r="A288" s="64"/>
      <c r="B288" s="64"/>
      <c r="C288" s="67"/>
      <c r="D288" s="14"/>
      <c r="E288" s="56"/>
      <c r="F288" s="52"/>
      <c r="G288" s="55"/>
    </row>
    <row r="289">
      <c r="A289" s="64"/>
      <c r="B289" s="64"/>
      <c r="C289" s="67"/>
      <c r="D289" s="14"/>
      <c r="E289" s="56"/>
      <c r="F289" s="52"/>
      <c r="G289" s="55"/>
    </row>
    <row r="290">
      <c r="A290" s="64"/>
      <c r="B290" s="64"/>
      <c r="C290" s="67"/>
      <c r="D290" s="14"/>
      <c r="E290" s="56"/>
      <c r="F290" s="52"/>
      <c r="G290" s="55"/>
    </row>
    <row r="291">
      <c r="A291" s="64"/>
      <c r="B291" s="64"/>
      <c r="C291" s="67"/>
      <c r="D291" s="14"/>
      <c r="E291" s="56"/>
      <c r="F291" s="52"/>
      <c r="G291" s="55"/>
    </row>
    <row r="292">
      <c r="A292" s="64"/>
      <c r="B292" s="64"/>
      <c r="C292" s="67"/>
      <c r="D292" s="14"/>
      <c r="E292" s="56"/>
      <c r="F292" s="52"/>
      <c r="G292" s="55"/>
    </row>
    <row r="293">
      <c r="A293" s="64"/>
      <c r="B293" s="64"/>
      <c r="C293" s="67"/>
      <c r="D293" s="14"/>
      <c r="E293" s="56"/>
      <c r="F293" s="52"/>
      <c r="G293" s="55"/>
    </row>
    <row r="294">
      <c r="A294" s="64"/>
      <c r="B294" s="64"/>
      <c r="C294" s="67"/>
      <c r="D294" s="14"/>
      <c r="E294" s="56"/>
      <c r="F294" s="52"/>
      <c r="G294" s="55"/>
    </row>
    <row r="295">
      <c r="A295" s="64"/>
      <c r="B295" s="64"/>
      <c r="C295" s="67"/>
      <c r="D295" s="14"/>
      <c r="E295" s="56"/>
      <c r="F295" s="52"/>
      <c r="G295" s="55"/>
    </row>
    <row r="296">
      <c r="A296" s="64"/>
      <c r="B296" s="64"/>
      <c r="C296" s="67"/>
      <c r="D296" s="14"/>
      <c r="E296" s="56"/>
      <c r="F296" s="52"/>
      <c r="G296" s="55"/>
    </row>
    <row r="297">
      <c r="A297" s="64"/>
      <c r="B297" s="64"/>
      <c r="C297" s="67"/>
      <c r="D297" s="14"/>
      <c r="E297" s="56"/>
      <c r="F297" s="52"/>
      <c r="G297" s="55"/>
    </row>
    <row r="298">
      <c r="A298" s="64"/>
      <c r="B298" s="64"/>
      <c r="C298" s="67"/>
      <c r="D298" s="14"/>
      <c r="E298" s="56"/>
      <c r="F298" s="52"/>
      <c r="G298" s="55"/>
    </row>
    <row r="299">
      <c r="A299" s="64"/>
      <c r="B299" s="64"/>
      <c r="C299" s="67"/>
      <c r="D299" s="14"/>
      <c r="E299" s="56"/>
      <c r="F299" s="52"/>
      <c r="G299" s="55"/>
    </row>
    <row r="300">
      <c r="A300" s="64"/>
      <c r="B300" s="64"/>
      <c r="C300" s="67"/>
      <c r="D300" s="14"/>
      <c r="E300" s="56"/>
      <c r="F300" s="52"/>
      <c r="G300" s="55"/>
    </row>
    <row r="301">
      <c r="A301" s="64"/>
      <c r="B301" s="64"/>
      <c r="C301" s="67"/>
      <c r="D301" s="14"/>
      <c r="E301" s="56"/>
      <c r="F301" s="52"/>
      <c r="G301" s="55"/>
    </row>
    <row r="302">
      <c r="A302" s="64"/>
      <c r="B302" s="64"/>
      <c r="C302" s="67"/>
      <c r="D302" s="14"/>
      <c r="E302" s="56"/>
      <c r="F302" s="52"/>
      <c r="G302" s="55"/>
    </row>
    <row r="303">
      <c r="A303" s="64"/>
      <c r="B303" s="64"/>
      <c r="C303" s="67"/>
      <c r="D303" s="14"/>
      <c r="E303" s="56"/>
      <c r="F303" s="52"/>
      <c r="G303" s="55"/>
    </row>
    <row r="304">
      <c r="A304" s="64"/>
      <c r="B304" s="64"/>
      <c r="C304" s="67"/>
      <c r="D304" s="14"/>
      <c r="E304" s="56"/>
      <c r="F304" s="52"/>
      <c r="G304" s="55"/>
    </row>
    <row r="305">
      <c r="A305" s="64"/>
      <c r="B305" s="64"/>
      <c r="C305" s="67"/>
      <c r="D305" s="14"/>
      <c r="E305" s="56"/>
      <c r="F305" s="52"/>
      <c r="G305" s="55"/>
    </row>
    <row r="306">
      <c r="A306" s="64"/>
      <c r="B306" s="64"/>
      <c r="C306" s="67"/>
      <c r="D306" s="14"/>
      <c r="E306" s="56"/>
      <c r="F306" s="52"/>
      <c r="G306" s="55"/>
    </row>
    <row r="307">
      <c r="A307" s="64"/>
      <c r="B307" s="64"/>
      <c r="C307" s="67"/>
      <c r="D307" s="14"/>
      <c r="E307" s="56"/>
      <c r="F307" s="52"/>
      <c r="G307" s="55"/>
    </row>
    <row r="308">
      <c r="A308" s="64"/>
      <c r="B308" s="64"/>
      <c r="C308" s="67"/>
      <c r="D308" s="14"/>
      <c r="E308" s="56"/>
      <c r="F308" s="52"/>
      <c r="G308" s="55"/>
    </row>
    <row r="309">
      <c r="A309" s="64"/>
      <c r="B309" s="64"/>
      <c r="C309" s="67"/>
      <c r="D309" s="14"/>
      <c r="E309" s="56"/>
      <c r="F309" s="52"/>
      <c r="G309" s="55"/>
    </row>
    <row r="310">
      <c r="A310" s="64"/>
      <c r="B310" s="64"/>
      <c r="C310" s="67"/>
      <c r="D310" s="14"/>
      <c r="E310" s="56"/>
      <c r="F310" s="52"/>
      <c r="G310" s="55"/>
    </row>
    <row r="311">
      <c r="A311" s="64"/>
      <c r="B311" s="64"/>
      <c r="C311" s="67"/>
      <c r="D311" s="14"/>
      <c r="E311" s="56"/>
      <c r="F311" s="52"/>
      <c r="G311" s="55"/>
    </row>
    <row r="312">
      <c r="A312" s="64"/>
      <c r="B312" s="64"/>
      <c r="C312" s="67"/>
      <c r="D312" s="14"/>
      <c r="E312" s="56"/>
      <c r="F312" s="52"/>
      <c r="G312" s="55"/>
    </row>
    <row r="313">
      <c r="A313" s="64"/>
      <c r="B313" s="64"/>
      <c r="C313" s="67"/>
      <c r="D313" s="14"/>
      <c r="E313" s="56"/>
      <c r="F313" s="52"/>
      <c r="G313" s="55"/>
    </row>
    <row r="314">
      <c r="A314" s="64"/>
      <c r="B314" s="64"/>
      <c r="C314" s="67"/>
      <c r="D314" s="14"/>
      <c r="E314" s="56"/>
      <c r="F314" s="52"/>
      <c r="G314" s="55"/>
    </row>
    <row r="315">
      <c r="A315" s="64"/>
      <c r="B315" s="64"/>
      <c r="C315" s="67"/>
      <c r="D315" s="14"/>
      <c r="E315" s="56"/>
      <c r="F315" s="52"/>
      <c r="G315" s="55"/>
    </row>
    <row r="316">
      <c r="A316" s="64"/>
      <c r="B316" s="64"/>
      <c r="C316" s="67"/>
      <c r="D316" s="14"/>
      <c r="E316" s="56"/>
      <c r="F316" s="52"/>
      <c r="G316" s="55"/>
    </row>
    <row r="317">
      <c r="A317" s="64"/>
      <c r="B317" s="64"/>
      <c r="C317" s="67"/>
      <c r="D317" s="14"/>
      <c r="E317" s="56"/>
      <c r="F317" s="52"/>
      <c r="G317" s="55"/>
    </row>
    <row r="318">
      <c r="A318" s="64"/>
      <c r="B318" s="64"/>
      <c r="C318" s="67"/>
      <c r="D318" s="14"/>
      <c r="E318" s="56"/>
      <c r="F318" s="52"/>
      <c r="G318" s="55"/>
    </row>
    <row r="319">
      <c r="A319" s="64"/>
      <c r="B319" s="64"/>
      <c r="C319" s="67"/>
      <c r="D319" s="14"/>
      <c r="E319" s="56"/>
      <c r="F319" s="52"/>
      <c r="G319" s="55"/>
    </row>
    <row r="320">
      <c r="A320" s="64"/>
      <c r="B320" s="64"/>
      <c r="C320" s="67"/>
      <c r="D320" s="14"/>
      <c r="E320" s="56"/>
      <c r="F320" s="52"/>
      <c r="G320" s="55"/>
    </row>
    <row r="321">
      <c r="A321" s="64"/>
      <c r="B321" s="64"/>
      <c r="C321" s="67"/>
      <c r="D321" s="14"/>
      <c r="E321" s="56"/>
      <c r="F321" s="52"/>
      <c r="G321" s="55"/>
    </row>
    <row r="322">
      <c r="A322" s="64"/>
      <c r="B322" s="64"/>
      <c r="C322" s="67"/>
      <c r="D322" s="14"/>
      <c r="E322" s="56"/>
      <c r="F322" s="52"/>
      <c r="G322" s="55"/>
    </row>
    <row r="323">
      <c r="A323" s="64"/>
      <c r="B323" s="64"/>
      <c r="C323" s="67"/>
      <c r="D323" s="14"/>
      <c r="E323" s="56"/>
      <c r="F323" s="52"/>
      <c r="G323" s="55"/>
    </row>
    <row r="324">
      <c r="A324" s="64"/>
      <c r="B324" s="64"/>
      <c r="C324" s="67"/>
      <c r="D324" s="14"/>
      <c r="E324" s="56"/>
      <c r="F324" s="52"/>
      <c r="G324" s="55"/>
    </row>
    <row r="325">
      <c r="A325" s="64"/>
      <c r="B325" s="64"/>
      <c r="C325" s="67"/>
      <c r="D325" s="14"/>
      <c r="E325" s="56"/>
      <c r="F325" s="52"/>
      <c r="G325" s="55"/>
    </row>
    <row r="326">
      <c r="A326" s="64"/>
      <c r="B326" s="64"/>
      <c r="C326" s="67"/>
      <c r="D326" s="14"/>
      <c r="E326" s="56"/>
      <c r="F326" s="52"/>
      <c r="G326" s="55"/>
    </row>
    <row r="327">
      <c r="A327" s="64"/>
      <c r="B327" s="64"/>
      <c r="C327" s="67"/>
      <c r="D327" s="14"/>
      <c r="E327" s="56"/>
      <c r="F327" s="52"/>
      <c r="G327" s="55"/>
    </row>
    <row r="328">
      <c r="A328" s="64"/>
      <c r="B328" s="64"/>
      <c r="C328" s="67"/>
      <c r="D328" s="14"/>
      <c r="E328" s="56"/>
      <c r="F328" s="52"/>
      <c r="G328" s="55"/>
    </row>
    <row r="329">
      <c r="A329" s="64"/>
      <c r="B329" s="64"/>
      <c r="C329" s="67"/>
      <c r="D329" s="14"/>
      <c r="E329" s="56"/>
      <c r="F329" s="52"/>
      <c r="G329" s="55"/>
    </row>
    <row r="330">
      <c r="A330" s="64"/>
      <c r="B330" s="64"/>
      <c r="C330" s="67"/>
      <c r="D330" s="14"/>
      <c r="E330" s="56"/>
      <c r="F330" s="52"/>
      <c r="G330" s="55"/>
    </row>
    <row r="331">
      <c r="A331" s="64"/>
      <c r="B331" s="64"/>
      <c r="C331" s="67"/>
      <c r="D331" s="14"/>
      <c r="E331" s="56"/>
      <c r="F331" s="52"/>
      <c r="G331" s="55"/>
    </row>
    <row r="332">
      <c r="A332" s="64"/>
      <c r="B332" s="64"/>
      <c r="C332" s="67"/>
      <c r="D332" s="14"/>
      <c r="E332" s="56"/>
      <c r="F332" s="52"/>
      <c r="G332" s="55"/>
    </row>
    <row r="333">
      <c r="A333" s="64"/>
      <c r="B333" s="64"/>
      <c r="C333" s="67"/>
      <c r="D333" s="14"/>
      <c r="E333" s="56"/>
      <c r="F333" s="52"/>
      <c r="G333" s="55"/>
    </row>
    <row r="334">
      <c r="A334" s="64"/>
      <c r="B334" s="64"/>
      <c r="C334" s="67"/>
      <c r="D334" s="14"/>
      <c r="E334" s="56"/>
      <c r="F334" s="52"/>
      <c r="G334" s="55"/>
    </row>
    <row r="335">
      <c r="A335" s="64"/>
      <c r="B335" s="64"/>
      <c r="C335" s="67"/>
      <c r="D335" s="14"/>
      <c r="E335" s="56"/>
      <c r="F335" s="52"/>
      <c r="G335" s="55"/>
    </row>
    <row r="336">
      <c r="A336" s="64"/>
      <c r="B336" s="64"/>
      <c r="C336" s="67"/>
      <c r="D336" s="14"/>
      <c r="E336" s="56"/>
      <c r="F336" s="52"/>
      <c r="G336" s="55"/>
    </row>
    <row r="337">
      <c r="A337" s="64"/>
      <c r="B337" s="64"/>
      <c r="C337" s="67"/>
      <c r="D337" s="14"/>
      <c r="E337" s="56"/>
      <c r="F337" s="52"/>
      <c r="G337" s="55"/>
    </row>
    <row r="338">
      <c r="A338" s="64"/>
      <c r="B338" s="64"/>
      <c r="C338" s="67"/>
      <c r="D338" s="14"/>
      <c r="E338" s="56"/>
      <c r="F338" s="52"/>
      <c r="G338" s="55"/>
    </row>
    <row r="339">
      <c r="A339" s="64"/>
      <c r="B339" s="64"/>
      <c r="C339" s="67"/>
      <c r="D339" s="14"/>
      <c r="E339" s="56"/>
      <c r="F339" s="52"/>
      <c r="G339" s="55"/>
    </row>
    <row r="340">
      <c r="A340" s="64"/>
      <c r="B340" s="64"/>
      <c r="C340" s="67"/>
      <c r="D340" s="14"/>
      <c r="E340" s="56"/>
      <c r="F340" s="52"/>
      <c r="G340" s="55"/>
    </row>
    <row r="341">
      <c r="A341" s="64"/>
      <c r="B341" s="64"/>
      <c r="C341" s="67"/>
      <c r="D341" s="14"/>
      <c r="E341" s="56"/>
      <c r="F341" s="52"/>
      <c r="G341" s="55"/>
    </row>
    <row r="342">
      <c r="A342" s="64"/>
      <c r="B342" s="64"/>
      <c r="C342" s="67"/>
      <c r="D342" s="14"/>
      <c r="E342" s="56"/>
      <c r="F342" s="52"/>
      <c r="G342" s="55"/>
    </row>
    <row r="343">
      <c r="A343" s="64"/>
      <c r="B343" s="64"/>
      <c r="C343" s="67"/>
      <c r="D343" s="14"/>
      <c r="E343" s="56"/>
      <c r="F343" s="52"/>
      <c r="G343" s="55"/>
    </row>
    <row r="344">
      <c r="A344" s="64"/>
      <c r="B344" s="64"/>
      <c r="C344" s="67"/>
      <c r="D344" s="14"/>
      <c r="E344" s="56"/>
      <c r="F344" s="52"/>
      <c r="G344" s="55"/>
    </row>
    <row r="345">
      <c r="A345" s="64"/>
      <c r="B345" s="64"/>
      <c r="C345" s="67"/>
      <c r="D345" s="14"/>
      <c r="E345" s="56"/>
      <c r="F345" s="52"/>
      <c r="G345" s="55"/>
    </row>
    <row r="346">
      <c r="A346" s="64"/>
      <c r="B346" s="64"/>
      <c r="C346" s="67"/>
      <c r="D346" s="14"/>
      <c r="E346" s="56"/>
      <c r="F346" s="52"/>
      <c r="G346" s="55"/>
    </row>
    <row r="347">
      <c r="A347" s="64"/>
      <c r="B347" s="64"/>
      <c r="C347" s="67"/>
      <c r="D347" s="14"/>
      <c r="E347" s="56"/>
      <c r="F347" s="52"/>
      <c r="G347" s="55"/>
    </row>
    <row r="348">
      <c r="A348" s="64"/>
      <c r="B348" s="64"/>
      <c r="C348" s="67"/>
      <c r="D348" s="14"/>
      <c r="E348" s="56"/>
      <c r="F348" s="52"/>
      <c r="G348" s="55"/>
    </row>
    <row r="349">
      <c r="A349" s="64"/>
      <c r="B349" s="64"/>
      <c r="C349" s="67"/>
      <c r="D349" s="14"/>
      <c r="E349" s="56"/>
      <c r="F349" s="52"/>
      <c r="G349" s="55"/>
    </row>
    <row r="350">
      <c r="A350" s="64"/>
      <c r="B350" s="64"/>
      <c r="C350" s="67"/>
      <c r="D350" s="14"/>
      <c r="E350" s="56"/>
      <c r="F350" s="52"/>
      <c r="G350" s="55"/>
    </row>
    <row r="351">
      <c r="A351" s="64"/>
      <c r="B351" s="64"/>
      <c r="C351" s="67"/>
      <c r="D351" s="14"/>
      <c r="E351" s="56"/>
      <c r="F351" s="52"/>
      <c r="G351" s="55"/>
    </row>
    <row r="352">
      <c r="A352" s="64"/>
      <c r="B352" s="64"/>
      <c r="C352" s="67"/>
      <c r="D352" s="14"/>
      <c r="E352" s="56"/>
      <c r="F352" s="52"/>
      <c r="G352" s="55"/>
    </row>
    <row r="353">
      <c r="A353" s="64"/>
      <c r="B353" s="64"/>
      <c r="C353" s="67"/>
      <c r="D353" s="14"/>
      <c r="E353" s="56"/>
      <c r="F353" s="52"/>
      <c r="G353" s="55"/>
    </row>
    <row r="354">
      <c r="A354" s="64"/>
      <c r="B354" s="64"/>
      <c r="C354" s="67"/>
      <c r="D354" s="14"/>
      <c r="E354" s="56"/>
      <c r="F354" s="52"/>
      <c r="G354" s="55"/>
    </row>
    <row r="355">
      <c r="A355" s="64"/>
      <c r="B355" s="64"/>
      <c r="C355" s="67"/>
      <c r="D355" s="14"/>
      <c r="E355" s="56"/>
      <c r="F355" s="52"/>
      <c r="G355" s="55"/>
    </row>
    <row r="356">
      <c r="A356" s="64"/>
      <c r="B356" s="64"/>
      <c r="C356" s="67"/>
      <c r="D356" s="14"/>
      <c r="E356" s="56"/>
      <c r="F356" s="52"/>
      <c r="G356" s="55"/>
    </row>
    <row r="357">
      <c r="A357" s="64"/>
      <c r="B357" s="64"/>
      <c r="C357" s="67"/>
      <c r="D357" s="14"/>
      <c r="E357" s="56"/>
      <c r="F357" s="52"/>
      <c r="G357" s="55"/>
    </row>
    <row r="358">
      <c r="A358" s="64"/>
      <c r="B358" s="64"/>
      <c r="C358" s="67"/>
      <c r="D358" s="14"/>
      <c r="E358" s="56"/>
      <c r="F358" s="52"/>
      <c r="G358" s="55"/>
    </row>
    <row r="359">
      <c r="A359" s="64"/>
      <c r="B359" s="64"/>
      <c r="C359" s="67"/>
      <c r="D359" s="14"/>
      <c r="E359" s="56"/>
      <c r="F359" s="52"/>
      <c r="G359" s="55"/>
    </row>
    <row r="360">
      <c r="A360" s="64"/>
      <c r="B360" s="64"/>
      <c r="C360" s="67"/>
      <c r="D360" s="14"/>
      <c r="E360" s="56"/>
      <c r="F360" s="52"/>
      <c r="G360" s="55"/>
    </row>
    <row r="361">
      <c r="A361" s="64"/>
      <c r="B361" s="64"/>
      <c r="C361" s="67"/>
      <c r="D361" s="14"/>
      <c r="E361" s="56"/>
      <c r="F361" s="52"/>
      <c r="G361" s="55"/>
    </row>
    <row r="362">
      <c r="A362" s="64"/>
      <c r="B362" s="64"/>
      <c r="C362" s="67"/>
      <c r="D362" s="14"/>
      <c r="E362" s="56"/>
      <c r="F362" s="52"/>
      <c r="G362" s="55"/>
    </row>
    <row r="363">
      <c r="A363" s="64"/>
      <c r="B363" s="64"/>
      <c r="C363" s="67"/>
      <c r="D363" s="14"/>
      <c r="E363" s="56"/>
      <c r="F363" s="52"/>
      <c r="G363" s="55"/>
    </row>
    <row r="364">
      <c r="A364" s="64"/>
      <c r="B364" s="64"/>
      <c r="C364" s="67"/>
      <c r="D364" s="14"/>
      <c r="E364" s="56"/>
      <c r="F364" s="52"/>
      <c r="G364" s="55"/>
    </row>
    <row r="365">
      <c r="A365" s="64"/>
      <c r="B365" s="64"/>
      <c r="C365" s="67"/>
      <c r="D365" s="14"/>
      <c r="E365" s="56"/>
      <c r="F365" s="52"/>
      <c r="G365" s="55"/>
    </row>
    <row r="366">
      <c r="A366" s="64"/>
      <c r="B366" s="64"/>
      <c r="C366" s="67"/>
      <c r="D366" s="14"/>
      <c r="E366" s="56"/>
      <c r="F366" s="52"/>
      <c r="G366" s="55"/>
    </row>
    <row r="367">
      <c r="A367" s="64"/>
      <c r="B367" s="64"/>
      <c r="C367" s="67"/>
      <c r="D367" s="14"/>
      <c r="E367" s="56"/>
      <c r="F367" s="52"/>
      <c r="G367" s="55"/>
    </row>
    <row r="368">
      <c r="A368" s="64"/>
      <c r="B368" s="64"/>
      <c r="C368" s="67"/>
      <c r="D368" s="14"/>
      <c r="E368" s="56"/>
      <c r="F368" s="52"/>
      <c r="G368" s="55"/>
    </row>
    <row r="369">
      <c r="A369" s="64"/>
      <c r="B369" s="64"/>
      <c r="C369" s="67"/>
      <c r="D369" s="14"/>
      <c r="E369" s="56"/>
      <c r="F369" s="52"/>
      <c r="G369" s="55"/>
    </row>
    <row r="370">
      <c r="A370" s="64"/>
      <c r="B370" s="64"/>
      <c r="C370" s="67"/>
      <c r="D370" s="14"/>
      <c r="E370" s="56"/>
      <c r="F370" s="52"/>
      <c r="G370" s="55"/>
    </row>
    <row r="371">
      <c r="A371" s="64"/>
      <c r="B371" s="64"/>
      <c r="C371" s="67"/>
      <c r="D371" s="14"/>
      <c r="E371" s="56"/>
      <c r="F371" s="52"/>
      <c r="G371" s="55"/>
    </row>
    <row r="372">
      <c r="A372" s="64"/>
      <c r="B372" s="64"/>
      <c r="C372" s="67"/>
      <c r="D372" s="14"/>
      <c r="E372" s="56"/>
      <c r="F372" s="52"/>
      <c r="G372" s="55"/>
    </row>
    <row r="373">
      <c r="A373" s="64"/>
      <c r="B373" s="64"/>
      <c r="C373" s="67"/>
      <c r="D373" s="14"/>
      <c r="E373" s="56"/>
      <c r="F373" s="52"/>
      <c r="G373" s="55"/>
    </row>
    <row r="374">
      <c r="A374" s="64"/>
      <c r="B374" s="64"/>
      <c r="C374" s="67"/>
      <c r="D374" s="14"/>
      <c r="E374" s="56"/>
      <c r="F374" s="52"/>
      <c r="G374" s="55"/>
    </row>
    <row r="375">
      <c r="A375" s="64"/>
      <c r="B375" s="64"/>
      <c r="C375" s="67"/>
      <c r="D375" s="14"/>
      <c r="E375" s="56"/>
      <c r="F375" s="52"/>
      <c r="G375" s="55"/>
    </row>
    <row r="376">
      <c r="A376" s="64"/>
      <c r="B376" s="64"/>
      <c r="C376" s="67"/>
      <c r="D376" s="14"/>
      <c r="E376" s="56"/>
      <c r="F376" s="52"/>
      <c r="G376" s="55"/>
    </row>
    <row r="377">
      <c r="A377" s="64"/>
      <c r="B377" s="64"/>
      <c r="C377" s="67"/>
      <c r="D377" s="14"/>
      <c r="E377" s="56"/>
      <c r="F377" s="52"/>
      <c r="G377" s="55"/>
    </row>
    <row r="378">
      <c r="A378" s="64"/>
      <c r="B378" s="64"/>
      <c r="C378" s="67"/>
      <c r="D378" s="14"/>
      <c r="E378" s="56"/>
      <c r="F378" s="52"/>
      <c r="G378" s="55"/>
    </row>
    <row r="379">
      <c r="A379" s="64"/>
      <c r="B379" s="64"/>
      <c r="C379" s="67"/>
      <c r="D379" s="14"/>
      <c r="E379" s="56"/>
      <c r="F379" s="52"/>
      <c r="G379" s="55"/>
    </row>
    <row r="380">
      <c r="A380" s="64"/>
      <c r="B380" s="64"/>
      <c r="C380" s="67"/>
      <c r="D380" s="14"/>
      <c r="E380" s="56"/>
      <c r="F380" s="52"/>
      <c r="G380" s="55"/>
    </row>
    <row r="381">
      <c r="A381" s="64"/>
      <c r="B381" s="64"/>
      <c r="C381" s="67"/>
      <c r="D381" s="14"/>
      <c r="E381" s="56"/>
      <c r="F381" s="52"/>
      <c r="G381" s="55"/>
    </row>
    <row r="382">
      <c r="A382" s="64"/>
      <c r="B382" s="64"/>
      <c r="C382" s="67"/>
      <c r="D382" s="14"/>
      <c r="E382" s="56"/>
      <c r="F382" s="52"/>
      <c r="G382" s="55"/>
    </row>
    <row r="383">
      <c r="A383" s="64"/>
      <c r="B383" s="64"/>
      <c r="C383" s="67"/>
      <c r="D383" s="14"/>
      <c r="E383" s="56"/>
      <c r="F383" s="52"/>
      <c r="G383" s="55"/>
    </row>
    <row r="384">
      <c r="A384" s="64"/>
      <c r="B384" s="64"/>
      <c r="C384" s="67"/>
      <c r="D384" s="14"/>
      <c r="E384" s="56"/>
      <c r="F384" s="52"/>
      <c r="G384" s="55"/>
    </row>
    <row r="385">
      <c r="A385" s="64"/>
      <c r="B385" s="64"/>
      <c r="C385" s="67"/>
      <c r="D385" s="14"/>
      <c r="E385" s="56"/>
      <c r="F385" s="52"/>
      <c r="G385" s="55"/>
    </row>
    <row r="386">
      <c r="A386" s="64"/>
      <c r="B386" s="64"/>
      <c r="C386" s="67"/>
      <c r="D386" s="14"/>
      <c r="E386" s="56"/>
      <c r="F386" s="52"/>
      <c r="G386" s="55"/>
    </row>
    <row r="387">
      <c r="A387" s="64"/>
      <c r="B387" s="64"/>
      <c r="C387" s="67"/>
      <c r="D387" s="14"/>
      <c r="E387" s="56"/>
      <c r="F387" s="52"/>
      <c r="G387" s="55"/>
    </row>
    <row r="388">
      <c r="A388" s="64"/>
      <c r="B388" s="64"/>
      <c r="C388" s="67"/>
      <c r="D388" s="14"/>
      <c r="E388" s="56"/>
      <c r="F388" s="52"/>
      <c r="G388" s="55"/>
    </row>
    <row r="389">
      <c r="A389" s="64"/>
      <c r="B389" s="64"/>
      <c r="C389" s="67"/>
      <c r="D389" s="14"/>
      <c r="E389" s="56"/>
      <c r="F389" s="52"/>
      <c r="G389" s="55"/>
    </row>
    <row r="390">
      <c r="A390" s="64"/>
      <c r="B390" s="64"/>
      <c r="C390" s="67"/>
      <c r="D390" s="14"/>
      <c r="E390" s="56"/>
      <c r="F390" s="52"/>
      <c r="G390" s="55"/>
    </row>
    <row r="391">
      <c r="A391" s="64"/>
      <c r="B391" s="64"/>
      <c r="C391" s="67"/>
      <c r="D391" s="14"/>
      <c r="E391" s="56"/>
      <c r="F391" s="52"/>
      <c r="G391" s="55"/>
    </row>
    <row r="392">
      <c r="A392" s="64"/>
      <c r="B392" s="64"/>
      <c r="C392" s="67"/>
      <c r="D392" s="14"/>
      <c r="E392" s="56"/>
      <c r="F392" s="52"/>
      <c r="G392" s="55"/>
    </row>
    <row r="393">
      <c r="A393" s="64"/>
      <c r="B393" s="64"/>
      <c r="C393" s="67"/>
      <c r="D393" s="14"/>
      <c r="E393" s="56"/>
      <c r="F393" s="52"/>
      <c r="G393" s="55"/>
    </row>
    <row r="394">
      <c r="A394" s="64"/>
      <c r="B394" s="64"/>
      <c r="C394" s="67"/>
      <c r="D394" s="14"/>
      <c r="E394" s="56"/>
      <c r="F394" s="52"/>
      <c r="G394" s="55"/>
    </row>
    <row r="395">
      <c r="A395" s="64"/>
      <c r="B395" s="64"/>
      <c r="C395" s="67"/>
      <c r="D395" s="14"/>
      <c r="E395" s="56"/>
      <c r="F395" s="52"/>
      <c r="G395" s="55"/>
    </row>
    <row r="396">
      <c r="A396" s="64"/>
      <c r="B396" s="64"/>
      <c r="C396" s="67"/>
      <c r="D396" s="14"/>
      <c r="E396" s="56"/>
      <c r="F396" s="52"/>
      <c r="G396" s="55"/>
    </row>
    <row r="397">
      <c r="A397" s="64"/>
      <c r="B397" s="64"/>
      <c r="C397" s="67"/>
      <c r="D397" s="14"/>
      <c r="E397" s="56"/>
      <c r="F397" s="52"/>
      <c r="G397" s="55"/>
    </row>
    <row r="398">
      <c r="A398" s="64"/>
      <c r="B398" s="64"/>
      <c r="C398" s="67"/>
      <c r="D398" s="14"/>
      <c r="E398" s="56"/>
      <c r="F398" s="52"/>
      <c r="G398" s="55"/>
    </row>
    <row r="399">
      <c r="A399" s="64"/>
      <c r="B399" s="64"/>
      <c r="C399" s="67"/>
      <c r="D399" s="14"/>
      <c r="E399" s="56"/>
      <c r="F399" s="52"/>
      <c r="G399" s="55"/>
    </row>
    <row r="400">
      <c r="A400" s="64"/>
      <c r="B400" s="64"/>
      <c r="C400" s="67"/>
      <c r="D400" s="14"/>
      <c r="E400" s="56"/>
      <c r="F400" s="52"/>
      <c r="G400" s="55"/>
    </row>
    <row r="401">
      <c r="A401" s="64"/>
      <c r="B401" s="64"/>
      <c r="C401" s="67"/>
      <c r="D401" s="14"/>
      <c r="E401" s="56"/>
      <c r="F401" s="52"/>
      <c r="G401" s="55"/>
    </row>
    <row r="402">
      <c r="A402" s="64"/>
      <c r="B402" s="64"/>
      <c r="C402" s="67"/>
      <c r="D402" s="14"/>
      <c r="E402" s="56"/>
      <c r="F402" s="52"/>
      <c r="G402" s="55"/>
    </row>
    <row r="403">
      <c r="A403" s="64"/>
      <c r="B403" s="64"/>
      <c r="C403" s="67"/>
      <c r="D403" s="14"/>
      <c r="E403" s="56"/>
      <c r="F403" s="52"/>
      <c r="G403" s="55"/>
    </row>
    <row r="404">
      <c r="A404" s="64"/>
      <c r="B404" s="64"/>
      <c r="C404" s="67"/>
      <c r="D404" s="14"/>
      <c r="E404" s="56"/>
      <c r="F404" s="52"/>
      <c r="G404" s="55"/>
    </row>
    <row r="405">
      <c r="A405" s="64"/>
      <c r="B405" s="64"/>
      <c r="C405" s="67"/>
      <c r="D405" s="14"/>
      <c r="E405" s="56"/>
      <c r="F405" s="52"/>
      <c r="G405" s="55"/>
    </row>
    <row r="406">
      <c r="A406" s="64"/>
      <c r="B406" s="64"/>
      <c r="C406" s="67"/>
      <c r="D406" s="14"/>
      <c r="E406" s="56"/>
      <c r="F406" s="52"/>
      <c r="G406" s="55"/>
    </row>
    <row r="407">
      <c r="A407" s="64"/>
      <c r="B407" s="64"/>
      <c r="C407" s="67"/>
      <c r="D407" s="14"/>
      <c r="E407" s="56"/>
      <c r="F407" s="52"/>
      <c r="G407" s="55"/>
    </row>
    <row r="408">
      <c r="A408" s="64"/>
      <c r="B408" s="64"/>
      <c r="C408" s="67"/>
      <c r="D408" s="14"/>
      <c r="E408" s="56"/>
      <c r="F408" s="52"/>
      <c r="G408" s="55"/>
    </row>
    <row r="409">
      <c r="A409" s="64"/>
      <c r="B409" s="64"/>
      <c r="C409" s="67"/>
      <c r="D409" s="14"/>
      <c r="E409" s="56"/>
      <c r="F409" s="52"/>
      <c r="G409" s="55"/>
    </row>
    <row r="410">
      <c r="A410" s="64"/>
      <c r="B410" s="64"/>
      <c r="C410" s="67"/>
      <c r="D410" s="14"/>
      <c r="E410" s="56"/>
      <c r="F410" s="52"/>
      <c r="G410" s="55"/>
    </row>
    <row r="411">
      <c r="A411" s="64"/>
      <c r="B411" s="64"/>
      <c r="C411" s="67"/>
      <c r="D411" s="14"/>
      <c r="E411" s="56"/>
      <c r="F411" s="52"/>
      <c r="G411" s="55"/>
    </row>
    <row r="412">
      <c r="A412" s="64"/>
      <c r="B412" s="64"/>
      <c r="C412" s="67"/>
      <c r="D412" s="14"/>
      <c r="E412" s="56"/>
      <c r="F412" s="52"/>
      <c r="G412" s="55"/>
    </row>
    <row r="413">
      <c r="A413" s="64"/>
      <c r="B413" s="64"/>
      <c r="C413" s="67"/>
      <c r="D413" s="14"/>
      <c r="E413" s="56"/>
      <c r="F413" s="52"/>
      <c r="G413" s="55"/>
    </row>
    <row r="414">
      <c r="A414" s="64"/>
      <c r="B414" s="64"/>
      <c r="C414" s="67"/>
      <c r="D414" s="14"/>
      <c r="E414" s="56"/>
      <c r="F414" s="52"/>
      <c r="G414" s="55"/>
    </row>
    <row r="415">
      <c r="A415" s="64"/>
      <c r="B415" s="64"/>
      <c r="C415" s="67"/>
      <c r="D415" s="14"/>
      <c r="E415" s="56"/>
      <c r="F415" s="52"/>
      <c r="G415" s="55"/>
    </row>
    <row r="416">
      <c r="A416" s="64"/>
      <c r="B416" s="64"/>
      <c r="C416" s="67"/>
      <c r="D416" s="14"/>
      <c r="E416" s="56"/>
      <c r="F416" s="52"/>
      <c r="G416" s="55"/>
    </row>
    <row r="417">
      <c r="A417" s="64"/>
      <c r="B417" s="64"/>
      <c r="C417" s="67"/>
      <c r="D417" s="14"/>
      <c r="E417" s="56"/>
      <c r="F417" s="52"/>
      <c r="G417" s="55"/>
    </row>
    <row r="418">
      <c r="A418" s="64"/>
      <c r="B418" s="64"/>
      <c r="C418" s="67"/>
      <c r="D418" s="14"/>
      <c r="E418" s="56"/>
      <c r="F418" s="52"/>
      <c r="G418" s="55"/>
    </row>
    <row r="419">
      <c r="A419" s="64"/>
      <c r="B419" s="64"/>
      <c r="C419" s="67"/>
      <c r="D419" s="14"/>
      <c r="E419" s="56"/>
      <c r="F419" s="52"/>
      <c r="G419" s="55"/>
    </row>
    <row r="420">
      <c r="A420" s="64"/>
      <c r="B420" s="64"/>
      <c r="C420" s="67"/>
      <c r="D420" s="14"/>
      <c r="E420" s="56"/>
      <c r="F420" s="52"/>
      <c r="G420" s="55"/>
    </row>
    <row r="421">
      <c r="A421" s="64"/>
      <c r="B421" s="64"/>
      <c r="C421" s="67"/>
      <c r="D421" s="14"/>
      <c r="E421" s="56"/>
      <c r="F421" s="52"/>
      <c r="G421" s="55"/>
    </row>
    <row r="422">
      <c r="A422" s="64"/>
      <c r="B422" s="64"/>
      <c r="C422" s="67"/>
      <c r="D422" s="14"/>
      <c r="E422" s="56"/>
      <c r="F422" s="52"/>
      <c r="G422" s="55"/>
    </row>
    <row r="423">
      <c r="A423" s="64"/>
      <c r="B423" s="64"/>
      <c r="C423" s="67"/>
      <c r="D423" s="14"/>
      <c r="E423" s="56"/>
      <c r="F423" s="52"/>
      <c r="G423" s="55"/>
    </row>
    <row r="424">
      <c r="A424" s="64"/>
      <c r="B424" s="64"/>
      <c r="C424" s="67"/>
      <c r="D424" s="14"/>
      <c r="E424" s="56"/>
      <c r="F424" s="52"/>
      <c r="G424" s="55"/>
    </row>
    <row r="425">
      <c r="A425" s="64"/>
      <c r="B425" s="64"/>
      <c r="C425" s="67"/>
      <c r="D425" s="14"/>
      <c r="E425" s="56"/>
      <c r="F425" s="52"/>
      <c r="G425" s="55"/>
    </row>
    <row r="426">
      <c r="A426" s="64"/>
      <c r="B426" s="64"/>
      <c r="C426" s="67"/>
      <c r="D426" s="14"/>
      <c r="E426" s="56"/>
      <c r="F426" s="52"/>
      <c r="G426" s="55"/>
    </row>
    <row r="427">
      <c r="A427" s="64"/>
      <c r="B427" s="64"/>
      <c r="C427" s="67"/>
      <c r="D427" s="14"/>
      <c r="E427" s="56"/>
      <c r="F427" s="52"/>
      <c r="G427" s="55"/>
    </row>
    <row r="428">
      <c r="A428" s="64"/>
      <c r="B428" s="64"/>
      <c r="C428" s="67"/>
      <c r="D428" s="14"/>
      <c r="E428" s="56"/>
      <c r="F428" s="52"/>
      <c r="G428" s="55"/>
    </row>
    <row r="429">
      <c r="A429" s="64"/>
      <c r="B429" s="64"/>
      <c r="C429" s="67"/>
      <c r="D429" s="14"/>
      <c r="E429" s="56"/>
      <c r="F429" s="52"/>
      <c r="G429" s="55"/>
    </row>
    <row r="430">
      <c r="A430" s="64"/>
      <c r="B430" s="64"/>
      <c r="C430" s="67"/>
      <c r="D430" s="14"/>
      <c r="E430" s="56"/>
      <c r="F430" s="52"/>
      <c r="G430" s="55"/>
    </row>
    <row r="431">
      <c r="A431" s="64"/>
      <c r="B431" s="64"/>
      <c r="C431" s="67"/>
      <c r="D431" s="14"/>
      <c r="E431" s="56"/>
      <c r="F431" s="52"/>
      <c r="G431" s="55"/>
    </row>
    <row r="432">
      <c r="A432" s="64"/>
      <c r="B432" s="64"/>
      <c r="C432" s="67"/>
      <c r="D432" s="14"/>
      <c r="E432" s="56"/>
      <c r="F432" s="52"/>
      <c r="G432" s="55"/>
    </row>
    <row r="433">
      <c r="A433" s="64"/>
      <c r="B433" s="64"/>
      <c r="C433" s="67"/>
      <c r="D433" s="14"/>
      <c r="E433" s="56"/>
      <c r="F433" s="52"/>
      <c r="G433" s="55"/>
    </row>
    <row r="434">
      <c r="A434" s="64"/>
      <c r="B434" s="64"/>
      <c r="C434" s="67"/>
      <c r="D434" s="14"/>
      <c r="E434" s="56"/>
      <c r="F434" s="52"/>
      <c r="G434" s="55"/>
    </row>
    <row r="435">
      <c r="A435" s="64"/>
      <c r="B435" s="64"/>
      <c r="C435" s="67"/>
      <c r="D435" s="14"/>
      <c r="E435" s="56"/>
      <c r="F435" s="52"/>
      <c r="G435" s="55"/>
    </row>
    <row r="436">
      <c r="A436" s="64"/>
      <c r="B436" s="64"/>
      <c r="C436" s="67"/>
      <c r="D436" s="14"/>
      <c r="E436" s="56"/>
      <c r="F436" s="52"/>
      <c r="G436" s="55"/>
    </row>
    <row r="437">
      <c r="A437" s="64"/>
      <c r="B437" s="64"/>
      <c r="C437" s="67"/>
      <c r="D437" s="14"/>
      <c r="E437" s="56"/>
      <c r="F437" s="52"/>
      <c r="G437" s="55"/>
    </row>
    <row r="438">
      <c r="A438" s="64"/>
      <c r="B438" s="64"/>
      <c r="C438" s="67"/>
      <c r="D438" s="14"/>
      <c r="E438" s="56"/>
      <c r="F438" s="52"/>
      <c r="G438" s="55"/>
    </row>
    <row r="439">
      <c r="A439" s="64"/>
      <c r="B439" s="64"/>
      <c r="C439" s="67"/>
      <c r="D439" s="14"/>
      <c r="E439" s="56"/>
      <c r="F439" s="52"/>
      <c r="G439" s="55"/>
    </row>
    <row r="440">
      <c r="A440" s="64"/>
      <c r="B440" s="64"/>
      <c r="C440" s="67"/>
      <c r="D440" s="14"/>
      <c r="E440" s="56"/>
      <c r="F440" s="52"/>
      <c r="G440" s="55"/>
    </row>
    <row r="441">
      <c r="A441" s="64"/>
      <c r="B441" s="64"/>
      <c r="C441" s="67"/>
      <c r="D441" s="14"/>
      <c r="E441" s="56"/>
      <c r="F441" s="52"/>
      <c r="G441" s="55"/>
    </row>
    <row r="442">
      <c r="A442" s="64"/>
      <c r="B442" s="64"/>
      <c r="C442" s="67"/>
      <c r="D442" s="14"/>
      <c r="E442" s="56"/>
      <c r="F442" s="52"/>
      <c r="G442" s="55"/>
    </row>
    <row r="443">
      <c r="A443" s="64"/>
      <c r="B443" s="64"/>
      <c r="C443" s="67"/>
      <c r="D443" s="14"/>
      <c r="E443" s="56"/>
      <c r="F443" s="52"/>
      <c r="G443" s="55"/>
    </row>
    <row r="444">
      <c r="A444" s="64"/>
      <c r="B444" s="64"/>
      <c r="C444" s="67"/>
      <c r="D444" s="14"/>
      <c r="E444" s="56"/>
      <c r="F444" s="52"/>
      <c r="G444" s="55"/>
    </row>
    <row r="445">
      <c r="A445" s="64"/>
      <c r="B445" s="64"/>
      <c r="C445" s="67"/>
      <c r="D445" s="14"/>
      <c r="E445" s="56"/>
      <c r="F445" s="52"/>
      <c r="G445" s="55"/>
    </row>
    <row r="446">
      <c r="A446" s="64"/>
      <c r="B446" s="64"/>
      <c r="C446" s="67"/>
      <c r="D446" s="14"/>
      <c r="E446" s="56"/>
      <c r="F446" s="52"/>
      <c r="G446" s="55"/>
    </row>
    <row r="447">
      <c r="A447" s="64"/>
      <c r="B447" s="64"/>
      <c r="C447" s="67"/>
      <c r="D447" s="14"/>
      <c r="E447" s="56"/>
      <c r="F447" s="52"/>
      <c r="G447" s="55"/>
    </row>
    <row r="448">
      <c r="A448" s="64"/>
      <c r="B448" s="64"/>
      <c r="C448" s="67"/>
      <c r="D448" s="14"/>
      <c r="E448" s="56"/>
      <c r="F448" s="52"/>
      <c r="G448" s="55"/>
    </row>
    <row r="449">
      <c r="A449" s="64"/>
      <c r="B449" s="64"/>
      <c r="C449" s="67"/>
      <c r="D449" s="14"/>
      <c r="E449" s="56"/>
      <c r="F449" s="52"/>
      <c r="G449" s="55"/>
    </row>
    <row r="450">
      <c r="A450" s="64"/>
      <c r="B450" s="64"/>
      <c r="C450" s="67"/>
      <c r="D450" s="14"/>
      <c r="E450" s="56"/>
      <c r="F450" s="52"/>
      <c r="G450" s="55"/>
    </row>
    <row r="451">
      <c r="A451" s="64"/>
      <c r="B451" s="64"/>
      <c r="C451" s="67"/>
      <c r="D451" s="14"/>
      <c r="E451" s="56"/>
      <c r="F451" s="52"/>
      <c r="G451" s="55"/>
    </row>
    <row r="452">
      <c r="A452" s="64"/>
      <c r="B452" s="64"/>
      <c r="C452" s="67"/>
      <c r="D452" s="14"/>
      <c r="E452" s="56"/>
      <c r="F452" s="52"/>
      <c r="G452" s="55"/>
    </row>
    <row r="453">
      <c r="A453" s="64"/>
      <c r="B453" s="64"/>
      <c r="C453" s="67"/>
      <c r="D453" s="14"/>
      <c r="E453" s="56"/>
      <c r="F453" s="52"/>
      <c r="G453" s="55"/>
    </row>
    <row r="454">
      <c r="A454" s="64"/>
      <c r="B454" s="64"/>
      <c r="C454" s="67"/>
      <c r="D454" s="14"/>
      <c r="E454" s="56"/>
      <c r="F454" s="52"/>
      <c r="G454" s="55"/>
    </row>
    <row r="455">
      <c r="A455" s="64"/>
      <c r="B455" s="64"/>
      <c r="C455" s="67"/>
      <c r="D455" s="14"/>
      <c r="E455" s="56"/>
      <c r="F455" s="52"/>
      <c r="G455" s="55"/>
    </row>
    <row r="456">
      <c r="A456" s="64"/>
      <c r="B456" s="64"/>
      <c r="C456" s="67"/>
      <c r="D456" s="14"/>
      <c r="E456" s="56"/>
      <c r="F456" s="52"/>
      <c r="G456" s="55"/>
    </row>
    <row r="457">
      <c r="A457" s="64"/>
      <c r="B457" s="64"/>
      <c r="C457" s="67"/>
      <c r="D457" s="14"/>
      <c r="E457" s="56"/>
      <c r="F457" s="52"/>
      <c r="G457" s="55"/>
    </row>
    <row r="458">
      <c r="A458" s="64"/>
      <c r="B458" s="64"/>
      <c r="C458" s="67"/>
      <c r="D458" s="14"/>
      <c r="E458" s="56"/>
      <c r="F458" s="52"/>
      <c r="G458" s="55"/>
    </row>
    <row r="459">
      <c r="A459" s="64"/>
      <c r="B459" s="64"/>
      <c r="C459" s="67"/>
      <c r="D459" s="14"/>
      <c r="E459" s="56"/>
      <c r="F459" s="52"/>
      <c r="G459" s="55"/>
    </row>
    <row r="460">
      <c r="A460" s="64"/>
      <c r="B460" s="64"/>
      <c r="C460" s="67"/>
      <c r="D460" s="14"/>
      <c r="E460" s="56"/>
      <c r="F460" s="52"/>
      <c r="G460" s="55"/>
    </row>
    <row r="461">
      <c r="A461" s="64"/>
      <c r="B461" s="64"/>
      <c r="C461" s="67"/>
      <c r="D461" s="14"/>
      <c r="E461" s="56"/>
      <c r="F461" s="52"/>
      <c r="G461" s="55"/>
    </row>
    <row r="462">
      <c r="A462" s="64"/>
      <c r="B462" s="64"/>
      <c r="C462" s="67"/>
      <c r="D462" s="14"/>
      <c r="E462" s="56"/>
      <c r="F462" s="52"/>
      <c r="G462" s="55"/>
    </row>
    <row r="463">
      <c r="A463" s="64"/>
      <c r="B463" s="64"/>
      <c r="C463" s="67"/>
      <c r="D463" s="14"/>
      <c r="E463" s="56"/>
      <c r="F463" s="52"/>
      <c r="G463" s="55"/>
    </row>
    <row r="464">
      <c r="A464" s="64"/>
      <c r="B464" s="64"/>
      <c r="C464" s="67"/>
      <c r="D464" s="14"/>
      <c r="E464" s="56"/>
      <c r="F464" s="52"/>
      <c r="G464" s="55"/>
    </row>
    <row r="465">
      <c r="A465" s="64"/>
      <c r="B465" s="64"/>
      <c r="C465" s="67"/>
      <c r="D465" s="14"/>
      <c r="E465" s="56"/>
      <c r="F465" s="52"/>
      <c r="G465" s="55"/>
    </row>
    <row r="466">
      <c r="A466" s="64"/>
      <c r="B466" s="64"/>
      <c r="C466" s="67"/>
      <c r="D466" s="14"/>
      <c r="E466" s="56"/>
      <c r="F466" s="52"/>
      <c r="G466" s="55"/>
    </row>
    <row r="467">
      <c r="A467" s="64"/>
      <c r="B467" s="64"/>
      <c r="C467" s="67"/>
      <c r="D467" s="14"/>
      <c r="E467" s="56"/>
      <c r="F467" s="52"/>
      <c r="G467" s="55"/>
    </row>
    <row r="468">
      <c r="A468" s="64"/>
      <c r="B468" s="64"/>
      <c r="C468" s="67"/>
      <c r="D468" s="14"/>
      <c r="E468" s="56"/>
      <c r="F468" s="52"/>
      <c r="G468" s="55"/>
    </row>
    <row r="469">
      <c r="A469" s="64"/>
      <c r="B469" s="64"/>
      <c r="C469" s="67"/>
      <c r="D469" s="14"/>
      <c r="E469" s="56"/>
      <c r="F469" s="52"/>
      <c r="G469" s="55"/>
    </row>
    <row r="470">
      <c r="A470" s="64"/>
      <c r="B470" s="64"/>
      <c r="C470" s="67"/>
      <c r="D470" s="14"/>
      <c r="E470" s="56"/>
      <c r="F470" s="52"/>
      <c r="G470" s="55"/>
    </row>
    <row r="471">
      <c r="A471" s="64"/>
      <c r="B471" s="64"/>
      <c r="C471" s="67"/>
      <c r="D471" s="14"/>
      <c r="E471" s="56"/>
      <c r="F471" s="52"/>
      <c r="G471" s="55"/>
    </row>
    <row r="472">
      <c r="A472" s="64"/>
      <c r="B472" s="64"/>
      <c r="C472" s="67"/>
      <c r="D472" s="14"/>
      <c r="E472" s="56"/>
      <c r="F472" s="52"/>
      <c r="G472" s="55"/>
    </row>
    <row r="473">
      <c r="A473" s="64"/>
      <c r="B473" s="64"/>
      <c r="C473" s="67"/>
      <c r="D473" s="14"/>
      <c r="E473" s="56"/>
      <c r="F473" s="52"/>
      <c r="G473" s="55"/>
    </row>
    <row r="474">
      <c r="A474" s="64"/>
      <c r="B474" s="64"/>
      <c r="C474" s="67"/>
      <c r="D474" s="14"/>
      <c r="E474" s="56"/>
      <c r="F474" s="52"/>
      <c r="G474" s="55"/>
    </row>
    <row r="475">
      <c r="A475" s="64"/>
      <c r="B475" s="64"/>
      <c r="C475" s="67"/>
      <c r="D475" s="14"/>
      <c r="E475" s="56"/>
      <c r="F475" s="52"/>
      <c r="G475" s="55"/>
    </row>
    <row r="476">
      <c r="A476" s="64"/>
      <c r="B476" s="64"/>
      <c r="C476" s="67"/>
      <c r="D476" s="14"/>
      <c r="E476" s="56"/>
      <c r="F476" s="52"/>
      <c r="G476" s="55"/>
    </row>
    <row r="477">
      <c r="A477" s="64"/>
      <c r="B477" s="64"/>
      <c r="C477" s="67"/>
      <c r="D477" s="14"/>
      <c r="E477" s="56"/>
      <c r="F477" s="52"/>
      <c r="G477" s="55"/>
    </row>
    <row r="478">
      <c r="A478" s="64"/>
      <c r="B478" s="64"/>
      <c r="C478" s="67"/>
      <c r="D478" s="14"/>
      <c r="E478" s="56"/>
      <c r="F478" s="52"/>
      <c r="G478" s="55"/>
    </row>
    <row r="479">
      <c r="A479" s="64"/>
      <c r="B479" s="64"/>
      <c r="C479" s="67"/>
      <c r="D479" s="14"/>
      <c r="E479" s="56"/>
      <c r="F479" s="52"/>
      <c r="G479" s="55"/>
    </row>
    <row r="480">
      <c r="A480" s="64"/>
      <c r="B480" s="64"/>
      <c r="C480" s="67"/>
      <c r="D480" s="14"/>
      <c r="E480" s="56"/>
      <c r="F480" s="52"/>
      <c r="G480" s="55"/>
    </row>
    <row r="481">
      <c r="A481" s="64"/>
      <c r="B481" s="64"/>
      <c r="C481" s="67"/>
      <c r="D481" s="14"/>
      <c r="E481" s="56"/>
      <c r="F481" s="52"/>
      <c r="G481" s="55"/>
    </row>
    <row r="482">
      <c r="A482" s="64"/>
      <c r="B482" s="64"/>
      <c r="C482" s="67"/>
      <c r="D482" s="14"/>
      <c r="E482" s="56"/>
      <c r="F482" s="52"/>
      <c r="G482" s="55"/>
    </row>
    <row r="483">
      <c r="A483" s="64"/>
      <c r="B483" s="64"/>
      <c r="C483" s="67"/>
      <c r="D483" s="14"/>
      <c r="E483" s="56"/>
      <c r="F483" s="52"/>
      <c r="G483" s="55"/>
    </row>
    <row r="484">
      <c r="A484" s="64"/>
      <c r="B484" s="64"/>
      <c r="C484" s="67"/>
      <c r="D484" s="14"/>
      <c r="E484" s="56"/>
      <c r="F484" s="52"/>
      <c r="G484" s="55"/>
    </row>
    <row r="485">
      <c r="A485" s="64"/>
      <c r="B485" s="64"/>
      <c r="C485" s="67"/>
      <c r="D485" s="14"/>
      <c r="E485" s="56"/>
      <c r="F485" s="52"/>
      <c r="G485" s="55"/>
    </row>
    <row r="486">
      <c r="A486" s="64"/>
      <c r="B486" s="64"/>
      <c r="C486" s="67"/>
      <c r="D486" s="14"/>
      <c r="E486" s="56"/>
      <c r="F486" s="52"/>
      <c r="G486" s="55"/>
    </row>
    <row r="487">
      <c r="A487" s="64"/>
      <c r="B487" s="64"/>
      <c r="C487" s="67"/>
      <c r="D487" s="14"/>
      <c r="E487" s="56"/>
      <c r="F487" s="52"/>
      <c r="G487" s="55"/>
    </row>
    <row r="488">
      <c r="A488" s="64"/>
      <c r="B488" s="64"/>
      <c r="C488" s="67"/>
      <c r="D488" s="14"/>
      <c r="E488" s="56"/>
      <c r="F488" s="52"/>
      <c r="G488" s="55"/>
    </row>
    <row r="489">
      <c r="A489" s="64"/>
      <c r="B489" s="64"/>
      <c r="C489" s="67"/>
      <c r="D489" s="14"/>
      <c r="E489" s="56"/>
      <c r="F489" s="52"/>
      <c r="G489" s="55"/>
    </row>
    <row r="490">
      <c r="A490" s="64"/>
      <c r="B490" s="64"/>
      <c r="C490" s="67"/>
      <c r="D490" s="14"/>
      <c r="E490" s="56"/>
      <c r="F490" s="52"/>
      <c r="G490" s="55"/>
    </row>
    <row r="491">
      <c r="A491" s="64"/>
      <c r="B491" s="64"/>
      <c r="C491" s="67"/>
      <c r="D491" s="14"/>
      <c r="E491" s="56"/>
      <c r="F491" s="52"/>
      <c r="G491" s="55"/>
    </row>
    <row r="492">
      <c r="A492" s="64"/>
      <c r="B492" s="64"/>
      <c r="C492" s="67"/>
      <c r="D492" s="14"/>
      <c r="E492" s="56"/>
      <c r="F492" s="52"/>
      <c r="G492" s="55"/>
    </row>
    <row r="493">
      <c r="A493" s="64"/>
      <c r="B493" s="64"/>
      <c r="C493" s="67"/>
      <c r="D493" s="14"/>
      <c r="E493" s="56"/>
      <c r="F493" s="52"/>
      <c r="G493" s="55"/>
    </row>
    <row r="494">
      <c r="A494" s="64"/>
      <c r="B494" s="64"/>
      <c r="C494" s="67"/>
      <c r="D494" s="14"/>
      <c r="E494" s="56"/>
      <c r="F494" s="52"/>
      <c r="G494" s="55"/>
    </row>
    <row r="495">
      <c r="A495" s="64"/>
      <c r="B495" s="64"/>
      <c r="C495" s="67"/>
      <c r="D495" s="14"/>
      <c r="E495" s="56"/>
      <c r="F495" s="52"/>
      <c r="G495" s="55"/>
    </row>
    <row r="496">
      <c r="A496" s="64"/>
      <c r="B496" s="64"/>
      <c r="C496" s="67"/>
      <c r="D496" s="14"/>
      <c r="E496" s="56"/>
      <c r="F496" s="52"/>
      <c r="G496" s="55"/>
    </row>
    <row r="497">
      <c r="A497" s="64"/>
      <c r="B497" s="64"/>
      <c r="C497" s="67"/>
      <c r="D497" s="14"/>
      <c r="E497" s="56"/>
      <c r="F497" s="52"/>
      <c r="G497" s="55"/>
    </row>
    <row r="498">
      <c r="A498" s="64"/>
      <c r="B498" s="64"/>
      <c r="C498" s="67"/>
      <c r="D498" s="14"/>
      <c r="E498" s="56"/>
      <c r="F498" s="52"/>
      <c r="G498" s="55"/>
    </row>
    <row r="499">
      <c r="A499" s="64"/>
      <c r="B499" s="64"/>
      <c r="C499" s="67"/>
      <c r="D499" s="14"/>
      <c r="E499" s="56"/>
      <c r="F499" s="52"/>
      <c r="G499" s="55"/>
    </row>
    <row r="500">
      <c r="A500" s="64"/>
      <c r="B500" s="64"/>
      <c r="C500" s="67"/>
      <c r="D500" s="14"/>
      <c r="E500" s="56"/>
      <c r="F500" s="52"/>
      <c r="G500" s="55"/>
    </row>
    <row r="501">
      <c r="A501" s="64"/>
      <c r="B501" s="64"/>
      <c r="C501" s="67"/>
      <c r="D501" s="14"/>
      <c r="E501" s="56"/>
      <c r="F501" s="52"/>
      <c r="G501" s="55"/>
    </row>
    <row r="502">
      <c r="A502" s="64"/>
      <c r="B502" s="64"/>
      <c r="C502" s="67"/>
      <c r="D502" s="14"/>
      <c r="E502" s="56"/>
      <c r="F502" s="52"/>
      <c r="G502" s="55"/>
    </row>
    <row r="503">
      <c r="A503" s="64"/>
      <c r="B503" s="64"/>
      <c r="C503" s="67"/>
      <c r="D503" s="14"/>
      <c r="E503" s="56"/>
      <c r="F503" s="52"/>
      <c r="G503" s="55"/>
    </row>
    <row r="504">
      <c r="A504" s="64"/>
      <c r="B504" s="64"/>
      <c r="C504" s="67"/>
      <c r="D504" s="14"/>
      <c r="E504" s="56"/>
      <c r="F504" s="52"/>
      <c r="G504" s="55"/>
    </row>
    <row r="505">
      <c r="A505" s="64"/>
      <c r="B505" s="64"/>
      <c r="C505" s="67"/>
      <c r="D505" s="14"/>
      <c r="E505" s="56"/>
      <c r="F505" s="52"/>
      <c r="G505" s="55"/>
    </row>
    <row r="506">
      <c r="A506" s="64"/>
      <c r="B506" s="64"/>
      <c r="C506" s="67"/>
      <c r="D506" s="14"/>
      <c r="E506" s="56"/>
      <c r="F506" s="52"/>
      <c r="G506" s="55"/>
    </row>
    <row r="507">
      <c r="A507" s="64"/>
      <c r="B507" s="64"/>
      <c r="C507" s="67"/>
      <c r="D507" s="14"/>
      <c r="E507" s="56"/>
      <c r="F507" s="52"/>
      <c r="G507" s="55"/>
    </row>
    <row r="508">
      <c r="A508" s="64"/>
      <c r="B508" s="64"/>
      <c r="C508" s="67"/>
      <c r="D508" s="14"/>
      <c r="E508" s="56"/>
      <c r="F508" s="52"/>
      <c r="G508" s="55"/>
    </row>
    <row r="509">
      <c r="A509" s="64"/>
      <c r="B509" s="64"/>
      <c r="C509" s="67"/>
      <c r="D509" s="14"/>
      <c r="E509" s="56"/>
      <c r="F509" s="52"/>
      <c r="G509" s="55"/>
    </row>
    <row r="510">
      <c r="A510" s="64"/>
      <c r="B510" s="64"/>
      <c r="C510" s="67"/>
      <c r="D510" s="14"/>
      <c r="E510" s="56"/>
      <c r="F510" s="52"/>
      <c r="G510" s="55"/>
    </row>
    <row r="511">
      <c r="A511" s="64"/>
      <c r="B511" s="64"/>
      <c r="C511" s="67"/>
      <c r="D511" s="14"/>
      <c r="E511" s="56"/>
      <c r="F511" s="52"/>
      <c r="G511" s="55"/>
    </row>
    <row r="512">
      <c r="A512" s="64"/>
      <c r="B512" s="64"/>
      <c r="C512" s="67"/>
      <c r="D512" s="14"/>
      <c r="E512" s="56"/>
      <c r="F512" s="52"/>
      <c r="G512" s="55"/>
    </row>
    <row r="513">
      <c r="A513" s="64"/>
      <c r="B513" s="64"/>
      <c r="C513" s="67"/>
      <c r="D513" s="14"/>
      <c r="E513" s="56"/>
      <c r="F513" s="52"/>
      <c r="G513" s="55"/>
    </row>
    <row r="514">
      <c r="A514" s="64"/>
      <c r="B514" s="64"/>
      <c r="C514" s="67"/>
      <c r="D514" s="14"/>
      <c r="E514" s="56"/>
      <c r="F514" s="52"/>
      <c r="G514" s="55"/>
    </row>
    <row r="515">
      <c r="A515" s="64"/>
      <c r="B515" s="64"/>
      <c r="C515" s="67"/>
      <c r="D515" s="14"/>
      <c r="E515" s="56"/>
      <c r="F515" s="52"/>
      <c r="G515" s="55"/>
    </row>
    <row r="516">
      <c r="A516" s="64"/>
      <c r="B516" s="64"/>
      <c r="C516" s="67"/>
      <c r="D516" s="14"/>
      <c r="E516" s="56"/>
      <c r="F516" s="52"/>
      <c r="G516" s="55"/>
    </row>
    <row r="517">
      <c r="A517" s="64"/>
      <c r="B517" s="64"/>
      <c r="C517" s="67"/>
      <c r="D517" s="14"/>
      <c r="E517" s="56"/>
      <c r="F517" s="52"/>
      <c r="G517" s="55"/>
    </row>
    <row r="518">
      <c r="A518" s="64"/>
      <c r="B518" s="64"/>
      <c r="C518" s="67"/>
      <c r="D518" s="14"/>
      <c r="E518" s="56"/>
      <c r="F518" s="52"/>
      <c r="G518" s="55"/>
    </row>
    <row r="519">
      <c r="A519" s="64"/>
      <c r="B519" s="64"/>
      <c r="C519" s="67"/>
      <c r="D519" s="14"/>
      <c r="E519" s="56"/>
      <c r="F519" s="52"/>
      <c r="G519" s="55"/>
    </row>
    <row r="520">
      <c r="A520" s="64"/>
      <c r="B520" s="64"/>
      <c r="C520" s="67"/>
      <c r="D520" s="14"/>
      <c r="E520" s="56"/>
      <c r="F520" s="52"/>
      <c r="G520" s="55"/>
    </row>
    <row r="521">
      <c r="A521" s="64"/>
      <c r="B521" s="64"/>
      <c r="C521" s="67"/>
      <c r="D521" s="14"/>
      <c r="E521" s="56"/>
      <c r="F521" s="52"/>
      <c r="G521" s="55"/>
    </row>
    <row r="522">
      <c r="A522" s="64"/>
      <c r="B522" s="64"/>
      <c r="C522" s="67"/>
      <c r="D522" s="14"/>
      <c r="E522" s="56"/>
      <c r="F522" s="52"/>
      <c r="G522" s="55"/>
    </row>
    <row r="523">
      <c r="A523" s="64"/>
      <c r="B523" s="64"/>
      <c r="C523" s="67"/>
      <c r="D523" s="14"/>
      <c r="E523" s="56"/>
      <c r="F523" s="52"/>
      <c r="G523" s="55"/>
    </row>
    <row r="524">
      <c r="A524" s="64"/>
      <c r="B524" s="64"/>
      <c r="C524" s="67"/>
      <c r="D524" s="14"/>
      <c r="E524" s="56"/>
      <c r="F524" s="52"/>
      <c r="G524" s="55"/>
    </row>
    <row r="525">
      <c r="A525" s="64"/>
      <c r="B525" s="64"/>
      <c r="C525" s="67"/>
      <c r="D525" s="14"/>
      <c r="E525" s="56"/>
      <c r="F525" s="52"/>
      <c r="G525" s="55"/>
    </row>
    <row r="526">
      <c r="A526" s="64"/>
      <c r="B526" s="64"/>
      <c r="C526" s="67"/>
      <c r="D526" s="14"/>
      <c r="E526" s="56"/>
      <c r="F526" s="52"/>
      <c r="G526" s="55"/>
    </row>
    <row r="527">
      <c r="A527" s="64"/>
      <c r="B527" s="64"/>
      <c r="C527" s="67"/>
      <c r="D527" s="14"/>
      <c r="E527" s="56"/>
      <c r="F527" s="52"/>
      <c r="G527" s="55"/>
    </row>
    <row r="528">
      <c r="A528" s="64"/>
      <c r="B528" s="64"/>
      <c r="C528" s="67"/>
      <c r="D528" s="14"/>
      <c r="E528" s="56"/>
      <c r="F528" s="52"/>
      <c r="G528" s="55"/>
    </row>
    <row r="529">
      <c r="A529" s="64"/>
      <c r="B529" s="64"/>
      <c r="C529" s="67"/>
      <c r="D529" s="14"/>
      <c r="E529" s="56"/>
      <c r="F529" s="52"/>
      <c r="G529" s="55"/>
    </row>
    <row r="530">
      <c r="A530" s="64"/>
      <c r="B530" s="64"/>
      <c r="C530" s="67"/>
      <c r="D530" s="14"/>
      <c r="E530" s="56"/>
      <c r="F530" s="52"/>
      <c r="G530" s="55"/>
    </row>
    <row r="531">
      <c r="A531" s="64"/>
      <c r="B531" s="64"/>
      <c r="C531" s="67"/>
      <c r="D531" s="14"/>
      <c r="E531" s="56"/>
      <c r="F531" s="52"/>
      <c r="G531" s="55"/>
    </row>
    <row r="532">
      <c r="A532" s="64"/>
      <c r="B532" s="64"/>
      <c r="C532" s="67"/>
      <c r="D532" s="14"/>
      <c r="E532" s="56"/>
      <c r="F532" s="52"/>
      <c r="G532" s="55"/>
    </row>
    <row r="533">
      <c r="A533" s="64"/>
      <c r="B533" s="64"/>
      <c r="C533" s="67"/>
      <c r="D533" s="14"/>
      <c r="E533" s="56"/>
      <c r="F533" s="52"/>
      <c r="G533" s="55"/>
    </row>
    <row r="534">
      <c r="A534" s="64"/>
      <c r="B534" s="64"/>
      <c r="C534" s="67"/>
      <c r="D534" s="14"/>
      <c r="E534" s="56"/>
      <c r="F534" s="52"/>
      <c r="G534" s="55"/>
    </row>
    <row r="535">
      <c r="A535" s="64"/>
      <c r="B535" s="64"/>
      <c r="C535" s="67"/>
      <c r="D535" s="14"/>
      <c r="E535" s="56"/>
      <c r="F535" s="52"/>
      <c r="G535" s="55"/>
    </row>
    <row r="536">
      <c r="A536" s="64"/>
      <c r="B536" s="64"/>
      <c r="C536" s="67"/>
      <c r="D536" s="14"/>
      <c r="E536" s="56"/>
      <c r="F536" s="52"/>
      <c r="G536" s="55"/>
    </row>
    <row r="537">
      <c r="A537" s="64"/>
      <c r="B537" s="64"/>
      <c r="C537" s="67"/>
      <c r="D537" s="14"/>
      <c r="E537" s="56"/>
      <c r="F537" s="52"/>
      <c r="G537" s="55"/>
    </row>
    <row r="538">
      <c r="A538" s="64"/>
      <c r="B538" s="64"/>
      <c r="C538" s="67"/>
      <c r="D538" s="14"/>
      <c r="E538" s="56"/>
      <c r="F538" s="52"/>
      <c r="G538" s="55"/>
    </row>
    <row r="539">
      <c r="A539" s="64"/>
      <c r="B539" s="64"/>
      <c r="C539" s="67"/>
      <c r="D539" s="14"/>
      <c r="E539" s="56"/>
      <c r="F539" s="52"/>
      <c r="G539" s="55"/>
    </row>
    <row r="540">
      <c r="A540" s="64"/>
      <c r="B540" s="64"/>
      <c r="C540" s="67"/>
      <c r="D540" s="14"/>
      <c r="E540" s="56"/>
      <c r="F540" s="52"/>
      <c r="G540" s="55"/>
    </row>
    <row r="541">
      <c r="A541" s="64"/>
      <c r="B541" s="64"/>
      <c r="C541" s="67"/>
      <c r="D541" s="14"/>
      <c r="E541" s="56"/>
      <c r="F541" s="52"/>
      <c r="G541" s="55"/>
    </row>
    <row r="542">
      <c r="A542" s="64"/>
      <c r="B542" s="64"/>
      <c r="C542" s="67"/>
      <c r="D542" s="14"/>
      <c r="E542" s="56"/>
      <c r="F542" s="52"/>
      <c r="G542" s="55"/>
    </row>
    <row r="543">
      <c r="A543" s="64"/>
      <c r="B543" s="64"/>
      <c r="C543" s="67"/>
      <c r="D543" s="14"/>
      <c r="E543" s="56"/>
      <c r="F543" s="52"/>
      <c r="G543" s="55"/>
    </row>
    <row r="544">
      <c r="A544" s="64"/>
      <c r="B544" s="64"/>
      <c r="C544" s="67"/>
      <c r="D544" s="14"/>
      <c r="E544" s="56"/>
      <c r="F544" s="52"/>
      <c r="G544" s="55"/>
    </row>
    <row r="545">
      <c r="A545" s="64"/>
      <c r="B545" s="64"/>
      <c r="C545" s="67"/>
      <c r="D545" s="14"/>
      <c r="E545" s="56"/>
      <c r="F545" s="52"/>
      <c r="G545" s="55"/>
    </row>
    <row r="546">
      <c r="A546" s="64"/>
      <c r="B546" s="64"/>
      <c r="C546" s="67"/>
      <c r="D546" s="14"/>
      <c r="E546" s="56"/>
      <c r="F546" s="52"/>
      <c r="G546" s="55"/>
    </row>
    <row r="547">
      <c r="A547" s="64"/>
      <c r="B547" s="64"/>
      <c r="C547" s="67"/>
      <c r="D547" s="14"/>
      <c r="E547" s="56"/>
      <c r="F547" s="52"/>
      <c r="G547" s="55"/>
    </row>
    <row r="548">
      <c r="A548" s="64"/>
      <c r="B548" s="64"/>
      <c r="C548" s="67"/>
      <c r="D548" s="14"/>
      <c r="E548" s="56"/>
      <c r="F548" s="52"/>
      <c r="G548" s="55"/>
    </row>
    <row r="549">
      <c r="A549" s="64"/>
      <c r="B549" s="64"/>
      <c r="C549" s="67"/>
      <c r="D549" s="14"/>
      <c r="E549" s="56"/>
      <c r="F549" s="52"/>
      <c r="G549" s="55"/>
    </row>
    <row r="550">
      <c r="A550" s="64"/>
      <c r="B550" s="64"/>
      <c r="C550" s="67"/>
      <c r="D550" s="14"/>
      <c r="E550" s="56"/>
      <c r="F550" s="52"/>
      <c r="G550" s="55"/>
    </row>
    <row r="551">
      <c r="A551" s="64"/>
      <c r="B551" s="64"/>
      <c r="C551" s="67"/>
      <c r="D551" s="14"/>
      <c r="E551" s="56"/>
      <c r="F551" s="52"/>
      <c r="G551" s="55"/>
    </row>
    <row r="552">
      <c r="A552" s="64"/>
      <c r="B552" s="64"/>
      <c r="C552" s="67"/>
      <c r="D552" s="14"/>
      <c r="E552" s="56"/>
      <c r="F552" s="52"/>
      <c r="G552" s="55"/>
    </row>
    <row r="553">
      <c r="A553" s="64"/>
      <c r="B553" s="64"/>
      <c r="C553" s="67"/>
      <c r="D553" s="14"/>
      <c r="E553" s="56"/>
      <c r="F553" s="52"/>
      <c r="G553" s="55"/>
    </row>
    <row r="554">
      <c r="A554" s="64"/>
      <c r="B554" s="64"/>
      <c r="C554" s="67"/>
      <c r="D554" s="14"/>
      <c r="E554" s="56"/>
      <c r="F554" s="52"/>
      <c r="G554" s="55"/>
    </row>
    <row r="555">
      <c r="A555" s="64"/>
      <c r="B555" s="64"/>
      <c r="C555" s="67"/>
      <c r="D555" s="14"/>
      <c r="E555" s="56"/>
      <c r="F555" s="52"/>
      <c r="G555" s="55"/>
    </row>
    <row r="556">
      <c r="A556" s="64"/>
      <c r="B556" s="64"/>
      <c r="C556" s="67"/>
      <c r="D556" s="14"/>
      <c r="E556" s="56"/>
      <c r="F556" s="52"/>
      <c r="G556" s="55"/>
    </row>
    <row r="557">
      <c r="A557" s="64"/>
      <c r="B557" s="64"/>
      <c r="C557" s="67"/>
      <c r="D557" s="14"/>
      <c r="E557" s="56"/>
      <c r="F557" s="52"/>
      <c r="G557" s="55"/>
    </row>
    <row r="558">
      <c r="A558" s="64"/>
      <c r="B558" s="64"/>
      <c r="C558" s="67"/>
      <c r="D558" s="14"/>
      <c r="E558" s="56"/>
      <c r="F558" s="52"/>
      <c r="G558" s="55"/>
    </row>
    <row r="559">
      <c r="A559" s="64"/>
      <c r="B559" s="64"/>
      <c r="C559" s="67"/>
      <c r="D559" s="14"/>
      <c r="E559" s="56"/>
      <c r="F559" s="52"/>
      <c r="G559" s="55"/>
    </row>
    <row r="560">
      <c r="A560" s="64"/>
      <c r="B560" s="64"/>
      <c r="C560" s="67"/>
      <c r="D560" s="14"/>
      <c r="E560" s="56"/>
      <c r="F560" s="52"/>
      <c r="G560" s="55"/>
    </row>
    <row r="561">
      <c r="A561" s="64"/>
      <c r="B561" s="64"/>
      <c r="C561" s="67"/>
      <c r="D561" s="14"/>
      <c r="E561" s="56"/>
      <c r="F561" s="52"/>
      <c r="G561" s="55"/>
    </row>
    <row r="562">
      <c r="A562" s="64"/>
      <c r="B562" s="64"/>
      <c r="C562" s="67"/>
      <c r="D562" s="14"/>
      <c r="E562" s="56"/>
      <c r="F562" s="52"/>
      <c r="G562" s="55"/>
    </row>
    <row r="563">
      <c r="A563" s="64"/>
      <c r="B563" s="64"/>
      <c r="C563" s="67"/>
      <c r="D563" s="14"/>
      <c r="E563" s="56"/>
      <c r="F563" s="52"/>
      <c r="G563" s="55"/>
    </row>
    <row r="564">
      <c r="A564" s="64"/>
      <c r="B564" s="64"/>
      <c r="C564" s="67"/>
      <c r="D564" s="14"/>
      <c r="E564" s="56"/>
      <c r="F564" s="52"/>
      <c r="G564" s="55"/>
    </row>
    <row r="565">
      <c r="A565" s="64"/>
      <c r="B565" s="64"/>
      <c r="C565" s="67"/>
      <c r="D565" s="14"/>
      <c r="E565" s="56"/>
      <c r="F565" s="52"/>
      <c r="G565" s="55"/>
    </row>
    <row r="566">
      <c r="A566" s="64"/>
      <c r="B566" s="64"/>
      <c r="C566" s="67"/>
      <c r="D566" s="14"/>
      <c r="E566" s="56"/>
      <c r="F566" s="52"/>
      <c r="G566" s="55"/>
    </row>
    <row r="567">
      <c r="A567" s="64"/>
      <c r="B567" s="64"/>
      <c r="C567" s="67"/>
      <c r="D567" s="14"/>
      <c r="E567" s="56"/>
      <c r="F567" s="52"/>
      <c r="G567" s="55"/>
    </row>
    <row r="568">
      <c r="A568" s="64"/>
      <c r="B568" s="64"/>
      <c r="C568" s="67"/>
      <c r="D568" s="14"/>
      <c r="E568" s="56"/>
      <c r="F568" s="52"/>
      <c r="G568" s="55"/>
    </row>
    <row r="569">
      <c r="A569" s="64"/>
      <c r="B569" s="64"/>
      <c r="C569" s="67"/>
      <c r="D569" s="14"/>
      <c r="E569" s="56"/>
      <c r="F569" s="52"/>
      <c r="G569" s="55"/>
    </row>
    <row r="570">
      <c r="A570" s="64"/>
      <c r="B570" s="64"/>
      <c r="C570" s="67"/>
      <c r="D570" s="14"/>
      <c r="E570" s="56"/>
      <c r="F570" s="52"/>
      <c r="G570" s="55"/>
    </row>
    <row r="571">
      <c r="A571" s="64"/>
      <c r="B571" s="64"/>
      <c r="C571" s="67"/>
      <c r="D571" s="14"/>
      <c r="E571" s="56"/>
      <c r="F571" s="52"/>
      <c r="G571" s="55"/>
    </row>
    <row r="572">
      <c r="A572" s="64"/>
      <c r="B572" s="64"/>
      <c r="C572" s="67"/>
      <c r="D572" s="14"/>
      <c r="E572" s="56"/>
      <c r="F572" s="52"/>
      <c r="G572" s="55"/>
    </row>
    <row r="573">
      <c r="A573" s="64"/>
      <c r="B573" s="64"/>
      <c r="C573" s="67"/>
      <c r="D573" s="14"/>
      <c r="E573" s="56"/>
      <c r="F573" s="52"/>
      <c r="G573" s="55"/>
    </row>
    <row r="574">
      <c r="A574" s="64"/>
      <c r="B574" s="64"/>
      <c r="C574" s="67"/>
      <c r="D574" s="14"/>
      <c r="E574" s="56"/>
      <c r="F574" s="52"/>
      <c r="G574" s="55"/>
    </row>
    <row r="575">
      <c r="A575" s="64"/>
      <c r="B575" s="64"/>
      <c r="C575" s="67"/>
      <c r="D575" s="14"/>
      <c r="E575" s="56"/>
      <c r="F575" s="52"/>
      <c r="G575" s="55"/>
    </row>
    <row r="576">
      <c r="A576" s="64"/>
      <c r="B576" s="64"/>
      <c r="C576" s="67"/>
      <c r="D576" s="14"/>
      <c r="E576" s="56"/>
      <c r="F576" s="52"/>
      <c r="G576" s="55"/>
    </row>
    <row r="577">
      <c r="A577" s="64"/>
      <c r="B577" s="64"/>
      <c r="C577" s="67"/>
      <c r="D577" s="14"/>
      <c r="E577" s="56"/>
      <c r="F577" s="52"/>
      <c r="G577" s="55"/>
    </row>
    <row r="578">
      <c r="A578" s="64"/>
      <c r="B578" s="64"/>
      <c r="C578" s="67"/>
      <c r="D578" s="14"/>
      <c r="E578" s="56"/>
      <c r="F578" s="52"/>
      <c r="G578" s="55"/>
    </row>
    <row r="579">
      <c r="A579" s="64"/>
      <c r="B579" s="64"/>
      <c r="C579" s="67"/>
      <c r="D579" s="14"/>
      <c r="E579" s="56"/>
      <c r="F579" s="52"/>
      <c r="G579" s="55"/>
    </row>
    <row r="580">
      <c r="A580" s="64"/>
      <c r="B580" s="64"/>
      <c r="C580" s="67"/>
      <c r="D580" s="14"/>
      <c r="E580" s="56"/>
      <c r="F580" s="52"/>
      <c r="G580" s="55"/>
    </row>
    <row r="581">
      <c r="A581" s="64"/>
      <c r="B581" s="64"/>
      <c r="C581" s="67"/>
      <c r="D581" s="14"/>
      <c r="E581" s="56"/>
      <c r="F581" s="52"/>
      <c r="G581" s="55"/>
    </row>
    <row r="582">
      <c r="A582" s="64"/>
      <c r="B582" s="64"/>
      <c r="C582" s="67"/>
      <c r="D582" s="14"/>
      <c r="E582" s="56"/>
      <c r="F582" s="52"/>
      <c r="G582" s="55"/>
    </row>
    <row r="583">
      <c r="A583" s="64"/>
      <c r="B583" s="64"/>
      <c r="C583" s="67"/>
      <c r="D583" s="14"/>
      <c r="E583" s="56"/>
      <c r="F583" s="52"/>
      <c r="G583" s="55"/>
    </row>
    <row r="584">
      <c r="A584" s="64"/>
      <c r="B584" s="64"/>
      <c r="C584" s="67"/>
      <c r="D584" s="14"/>
      <c r="E584" s="56"/>
      <c r="F584" s="52"/>
      <c r="G584" s="55"/>
    </row>
    <row r="585">
      <c r="A585" s="64"/>
      <c r="B585" s="64"/>
      <c r="C585" s="67"/>
      <c r="D585" s="14"/>
      <c r="E585" s="56"/>
      <c r="F585" s="52"/>
      <c r="G585" s="55"/>
    </row>
    <row r="586">
      <c r="A586" s="64"/>
      <c r="B586" s="64"/>
      <c r="C586" s="67"/>
      <c r="D586" s="14"/>
      <c r="E586" s="56"/>
      <c r="F586" s="52"/>
      <c r="G586" s="55"/>
    </row>
    <row r="587">
      <c r="A587" s="64"/>
      <c r="B587" s="64"/>
      <c r="C587" s="67"/>
      <c r="D587" s="14"/>
      <c r="E587" s="56"/>
      <c r="F587" s="52"/>
      <c r="G587" s="55"/>
    </row>
    <row r="588">
      <c r="A588" s="64"/>
      <c r="B588" s="64"/>
      <c r="C588" s="67"/>
      <c r="D588" s="14"/>
      <c r="E588" s="56"/>
      <c r="F588" s="52"/>
      <c r="G588" s="55"/>
    </row>
    <row r="589">
      <c r="A589" s="64"/>
      <c r="B589" s="64"/>
      <c r="C589" s="67"/>
      <c r="D589" s="14"/>
      <c r="E589" s="56"/>
      <c r="F589" s="52"/>
      <c r="G589" s="55"/>
    </row>
    <row r="590">
      <c r="A590" s="64"/>
      <c r="B590" s="64"/>
      <c r="C590" s="67"/>
      <c r="D590" s="14"/>
      <c r="E590" s="56"/>
      <c r="F590" s="52"/>
      <c r="G590" s="55"/>
    </row>
    <row r="591">
      <c r="A591" s="64"/>
      <c r="B591" s="64"/>
      <c r="C591" s="67"/>
      <c r="D591" s="14"/>
      <c r="E591" s="56"/>
      <c r="F591" s="52"/>
      <c r="G591" s="55"/>
    </row>
    <row r="592">
      <c r="A592" s="64"/>
      <c r="B592" s="64"/>
      <c r="C592" s="67"/>
      <c r="D592" s="14"/>
      <c r="E592" s="56"/>
      <c r="F592" s="52"/>
      <c r="G592" s="55"/>
    </row>
    <row r="593">
      <c r="A593" s="64"/>
      <c r="B593" s="64"/>
      <c r="C593" s="67"/>
      <c r="D593" s="14"/>
      <c r="E593" s="56"/>
      <c r="F593" s="52"/>
      <c r="G593" s="55"/>
    </row>
    <row r="594">
      <c r="A594" s="64"/>
      <c r="B594" s="64"/>
      <c r="C594" s="67"/>
      <c r="D594" s="14"/>
      <c r="E594" s="56"/>
      <c r="F594" s="52"/>
      <c r="G594" s="55"/>
    </row>
    <row r="595">
      <c r="A595" s="64"/>
      <c r="B595" s="64"/>
      <c r="C595" s="67"/>
      <c r="D595" s="14"/>
      <c r="E595" s="56"/>
      <c r="F595" s="52"/>
      <c r="G595" s="55"/>
    </row>
    <row r="596">
      <c r="A596" s="64"/>
      <c r="B596" s="64"/>
      <c r="C596" s="67"/>
      <c r="D596" s="14"/>
      <c r="E596" s="56"/>
      <c r="F596" s="52"/>
      <c r="G596" s="55"/>
    </row>
    <row r="597">
      <c r="A597" s="64"/>
      <c r="B597" s="64"/>
      <c r="C597" s="67"/>
      <c r="D597" s="14"/>
      <c r="E597" s="56"/>
      <c r="F597" s="52"/>
      <c r="G597" s="55"/>
    </row>
    <row r="598">
      <c r="A598" s="64"/>
      <c r="B598" s="64"/>
      <c r="C598" s="67"/>
      <c r="D598" s="14"/>
      <c r="E598" s="56"/>
      <c r="F598" s="52"/>
      <c r="G598" s="55"/>
    </row>
    <row r="599">
      <c r="A599" s="64"/>
      <c r="B599" s="64"/>
      <c r="C599" s="67"/>
      <c r="D599" s="14"/>
      <c r="E599" s="56"/>
      <c r="F599" s="52"/>
      <c r="G599" s="55"/>
    </row>
    <row r="600">
      <c r="A600" s="64"/>
      <c r="B600" s="64"/>
      <c r="C600" s="67"/>
      <c r="D600" s="14"/>
      <c r="E600" s="56"/>
      <c r="F600" s="52"/>
      <c r="G600" s="55"/>
    </row>
    <row r="601">
      <c r="A601" s="64"/>
      <c r="B601" s="64"/>
      <c r="C601" s="67"/>
      <c r="D601" s="14"/>
      <c r="E601" s="56"/>
      <c r="F601" s="52"/>
      <c r="G601" s="55"/>
    </row>
    <row r="602">
      <c r="A602" s="64"/>
      <c r="B602" s="64"/>
      <c r="C602" s="67"/>
      <c r="D602" s="14"/>
      <c r="E602" s="56"/>
      <c r="F602" s="52"/>
      <c r="G602" s="55"/>
    </row>
    <row r="603">
      <c r="A603" s="64"/>
      <c r="B603" s="64"/>
      <c r="C603" s="67"/>
      <c r="D603" s="14"/>
      <c r="E603" s="56"/>
      <c r="F603" s="52"/>
      <c r="G603" s="55"/>
    </row>
    <row r="604">
      <c r="A604" s="64"/>
      <c r="B604" s="64"/>
      <c r="C604" s="67"/>
      <c r="D604" s="14"/>
      <c r="E604" s="56"/>
      <c r="F604" s="52"/>
      <c r="G604" s="55"/>
    </row>
    <row r="605">
      <c r="A605" s="64"/>
      <c r="B605" s="64"/>
      <c r="C605" s="67"/>
      <c r="D605" s="14"/>
      <c r="E605" s="56"/>
      <c r="F605" s="52"/>
      <c r="G605" s="55"/>
    </row>
    <row r="606">
      <c r="A606" s="64"/>
      <c r="B606" s="64"/>
      <c r="C606" s="67"/>
      <c r="D606" s="14"/>
      <c r="E606" s="56"/>
      <c r="F606" s="52"/>
      <c r="G606" s="55"/>
    </row>
    <row r="607">
      <c r="A607" s="64"/>
      <c r="B607" s="64"/>
      <c r="C607" s="67"/>
      <c r="D607" s="14"/>
      <c r="E607" s="56"/>
      <c r="F607" s="52"/>
      <c r="G607" s="55"/>
    </row>
    <row r="608">
      <c r="A608" s="64"/>
      <c r="B608" s="64"/>
      <c r="C608" s="67"/>
      <c r="D608" s="14"/>
      <c r="E608" s="56"/>
      <c r="F608" s="52"/>
      <c r="G608" s="55"/>
    </row>
    <row r="609">
      <c r="A609" s="64"/>
      <c r="B609" s="64"/>
      <c r="C609" s="67"/>
      <c r="D609" s="14"/>
      <c r="E609" s="56"/>
      <c r="F609" s="52"/>
      <c r="G609" s="55"/>
    </row>
    <row r="610">
      <c r="A610" s="64"/>
      <c r="B610" s="64"/>
      <c r="C610" s="67"/>
      <c r="D610" s="14"/>
      <c r="E610" s="56"/>
      <c r="F610" s="52"/>
      <c r="G610" s="55"/>
    </row>
    <row r="611">
      <c r="A611" s="64"/>
      <c r="B611" s="64"/>
      <c r="C611" s="67"/>
      <c r="D611" s="14"/>
      <c r="E611" s="56"/>
      <c r="F611" s="52"/>
      <c r="G611" s="55"/>
    </row>
    <row r="612">
      <c r="A612" s="64"/>
      <c r="B612" s="64"/>
      <c r="C612" s="67"/>
      <c r="D612" s="14"/>
      <c r="E612" s="56"/>
      <c r="F612" s="52"/>
      <c r="G612" s="55"/>
    </row>
    <row r="613">
      <c r="A613" s="64"/>
      <c r="B613" s="64"/>
      <c r="C613" s="67"/>
      <c r="D613" s="14"/>
      <c r="E613" s="56"/>
      <c r="F613" s="52"/>
      <c r="G613" s="55"/>
    </row>
    <row r="614">
      <c r="A614" s="64"/>
      <c r="B614" s="64"/>
      <c r="C614" s="67"/>
      <c r="D614" s="14"/>
      <c r="E614" s="56"/>
      <c r="F614" s="52"/>
      <c r="G614" s="55"/>
    </row>
    <row r="615">
      <c r="A615" s="64"/>
      <c r="B615" s="64"/>
      <c r="C615" s="67"/>
      <c r="D615" s="14"/>
      <c r="E615" s="56"/>
      <c r="F615" s="52"/>
      <c r="G615" s="55"/>
    </row>
    <row r="616">
      <c r="A616" s="64"/>
      <c r="B616" s="64"/>
      <c r="C616" s="67"/>
      <c r="D616" s="14"/>
      <c r="E616" s="56"/>
      <c r="F616" s="52"/>
      <c r="G616" s="55"/>
    </row>
    <row r="617">
      <c r="A617" s="64"/>
      <c r="B617" s="64"/>
      <c r="C617" s="67"/>
      <c r="D617" s="14"/>
      <c r="E617" s="56"/>
      <c r="F617" s="52"/>
      <c r="G617" s="55"/>
    </row>
    <row r="618">
      <c r="A618" s="64"/>
      <c r="B618" s="64"/>
      <c r="C618" s="67"/>
      <c r="D618" s="14"/>
      <c r="E618" s="56"/>
      <c r="F618" s="52"/>
      <c r="G618" s="55"/>
    </row>
    <row r="619">
      <c r="A619" s="64"/>
      <c r="B619" s="64"/>
      <c r="C619" s="67"/>
      <c r="D619" s="14"/>
      <c r="E619" s="56"/>
      <c r="F619" s="52"/>
      <c r="G619" s="55"/>
    </row>
    <row r="620">
      <c r="A620" s="64"/>
      <c r="B620" s="64"/>
      <c r="C620" s="67"/>
      <c r="D620" s="14"/>
      <c r="E620" s="56"/>
      <c r="F620" s="52"/>
      <c r="G620" s="55"/>
    </row>
    <row r="621">
      <c r="A621" s="64"/>
      <c r="B621" s="64"/>
      <c r="C621" s="67"/>
      <c r="D621" s="14"/>
      <c r="E621" s="56"/>
      <c r="F621" s="52"/>
      <c r="G621" s="55"/>
    </row>
    <row r="622">
      <c r="A622" s="64"/>
      <c r="B622" s="64"/>
      <c r="C622" s="67"/>
      <c r="D622" s="14"/>
      <c r="E622" s="56"/>
      <c r="F622" s="52"/>
      <c r="G622" s="55"/>
    </row>
    <row r="623">
      <c r="A623" s="64"/>
      <c r="B623" s="64"/>
      <c r="C623" s="67"/>
      <c r="D623" s="14"/>
      <c r="E623" s="56"/>
      <c r="F623" s="52"/>
      <c r="G623" s="55"/>
    </row>
    <row r="624">
      <c r="A624" s="64"/>
      <c r="B624" s="64"/>
      <c r="C624" s="67"/>
      <c r="D624" s="14"/>
      <c r="E624" s="56"/>
      <c r="F624" s="52"/>
      <c r="G624" s="55"/>
    </row>
    <row r="625">
      <c r="A625" s="64"/>
      <c r="B625" s="64"/>
      <c r="C625" s="67"/>
      <c r="D625" s="14"/>
      <c r="E625" s="56"/>
      <c r="F625" s="52"/>
      <c r="G625" s="55"/>
    </row>
    <row r="626">
      <c r="A626" s="64"/>
      <c r="B626" s="64"/>
      <c r="C626" s="67"/>
      <c r="D626" s="14"/>
      <c r="E626" s="56"/>
      <c r="F626" s="52"/>
      <c r="G626" s="55"/>
    </row>
    <row r="627">
      <c r="A627" s="64"/>
      <c r="B627" s="64"/>
      <c r="C627" s="67"/>
      <c r="D627" s="14"/>
      <c r="E627" s="56"/>
      <c r="F627" s="52"/>
      <c r="G627" s="55"/>
    </row>
    <row r="628">
      <c r="A628" s="64"/>
      <c r="B628" s="64"/>
      <c r="C628" s="67"/>
      <c r="D628" s="14"/>
      <c r="E628" s="56"/>
      <c r="F628" s="52"/>
      <c r="G628" s="55"/>
    </row>
    <row r="629">
      <c r="A629" s="64"/>
      <c r="B629" s="64"/>
      <c r="C629" s="67"/>
      <c r="D629" s="14"/>
      <c r="E629" s="56"/>
      <c r="F629" s="52"/>
      <c r="G629" s="55"/>
    </row>
    <row r="630">
      <c r="A630" s="64"/>
      <c r="B630" s="64"/>
      <c r="C630" s="67"/>
      <c r="D630" s="14"/>
      <c r="E630" s="56"/>
      <c r="F630" s="52"/>
      <c r="G630" s="55"/>
    </row>
    <row r="631">
      <c r="A631" s="64"/>
      <c r="B631" s="64"/>
      <c r="C631" s="67"/>
      <c r="D631" s="14"/>
      <c r="E631" s="56"/>
      <c r="F631" s="52"/>
      <c r="G631" s="55"/>
    </row>
    <row r="632">
      <c r="A632" s="64"/>
      <c r="B632" s="64"/>
      <c r="C632" s="67"/>
      <c r="D632" s="14"/>
      <c r="E632" s="56"/>
      <c r="F632" s="52"/>
      <c r="G632" s="55"/>
    </row>
    <row r="633">
      <c r="A633" s="64"/>
      <c r="B633" s="64"/>
      <c r="C633" s="67"/>
      <c r="D633" s="14"/>
      <c r="E633" s="56"/>
      <c r="F633" s="52"/>
      <c r="G633" s="55"/>
    </row>
    <row r="634">
      <c r="A634" s="64"/>
      <c r="B634" s="64"/>
      <c r="C634" s="67"/>
      <c r="D634" s="14"/>
      <c r="E634" s="56"/>
      <c r="F634" s="52"/>
      <c r="G634" s="55"/>
    </row>
    <row r="635">
      <c r="A635" s="64"/>
      <c r="B635" s="64"/>
      <c r="C635" s="67"/>
      <c r="D635" s="14"/>
      <c r="E635" s="56"/>
      <c r="F635" s="52"/>
      <c r="G635" s="55"/>
    </row>
    <row r="636">
      <c r="A636" s="64"/>
      <c r="B636" s="64"/>
      <c r="C636" s="67"/>
      <c r="D636" s="14"/>
      <c r="E636" s="56"/>
      <c r="F636" s="52"/>
      <c r="G636" s="55"/>
    </row>
    <row r="637">
      <c r="A637" s="64"/>
      <c r="B637" s="64"/>
      <c r="C637" s="67"/>
      <c r="D637" s="14"/>
      <c r="E637" s="56"/>
      <c r="F637" s="52"/>
      <c r="G637" s="55"/>
    </row>
    <row r="638">
      <c r="A638" s="64"/>
      <c r="B638" s="64"/>
      <c r="C638" s="67"/>
      <c r="D638" s="14"/>
      <c r="E638" s="56"/>
      <c r="F638" s="52"/>
      <c r="G638" s="55"/>
    </row>
    <row r="639">
      <c r="A639" s="64"/>
      <c r="B639" s="64"/>
      <c r="C639" s="67"/>
      <c r="D639" s="14"/>
      <c r="E639" s="56"/>
      <c r="F639" s="52"/>
      <c r="G639" s="55"/>
    </row>
    <row r="640">
      <c r="A640" s="64"/>
      <c r="B640" s="64"/>
      <c r="C640" s="67"/>
      <c r="D640" s="14"/>
      <c r="E640" s="56"/>
      <c r="F640" s="52"/>
      <c r="G640" s="55"/>
    </row>
    <row r="641">
      <c r="A641" s="64"/>
      <c r="B641" s="64"/>
      <c r="C641" s="67"/>
      <c r="D641" s="14"/>
      <c r="E641" s="56"/>
      <c r="F641" s="52"/>
      <c r="G641" s="55"/>
    </row>
    <row r="642">
      <c r="A642" s="64"/>
      <c r="B642" s="64"/>
      <c r="C642" s="67"/>
      <c r="D642" s="14"/>
      <c r="E642" s="56"/>
      <c r="F642" s="52"/>
      <c r="G642" s="55"/>
    </row>
    <row r="643">
      <c r="A643" s="64"/>
      <c r="B643" s="64"/>
      <c r="C643" s="67"/>
      <c r="D643" s="14"/>
      <c r="E643" s="56"/>
      <c r="F643" s="52"/>
      <c r="G643" s="55"/>
    </row>
    <row r="644">
      <c r="A644" s="64"/>
      <c r="B644" s="64"/>
      <c r="C644" s="67"/>
      <c r="D644" s="14"/>
      <c r="E644" s="56"/>
      <c r="F644" s="52"/>
      <c r="G644" s="55"/>
    </row>
    <row r="645">
      <c r="A645" s="64"/>
      <c r="B645" s="64"/>
      <c r="C645" s="67"/>
      <c r="D645" s="14"/>
      <c r="E645" s="56"/>
      <c r="F645" s="52"/>
      <c r="G645" s="55"/>
    </row>
    <row r="646">
      <c r="A646" s="64"/>
      <c r="B646" s="64"/>
      <c r="C646" s="67"/>
      <c r="D646" s="14"/>
      <c r="E646" s="56"/>
      <c r="F646" s="52"/>
      <c r="G646" s="55"/>
    </row>
    <row r="647">
      <c r="A647" s="64"/>
      <c r="B647" s="64"/>
      <c r="C647" s="67"/>
      <c r="D647" s="14"/>
      <c r="E647" s="56"/>
      <c r="F647" s="52"/>
      <c r="G647" s="55"/>
    </row>
    <row r="648">
      <c r="A648" s="64"/>
      <c r="B648" s="64"/>
      <c r="C648" s="67"/>
      <c r="D648" s="14"/>
      <c r="E648" s="56"/>
      <c r="F648" s="52"/>
      <c r="G648" s="55"/>
    </row>
    <row r="649">
      <c r="A649" s="64"/>
      <c r="B649" s="64"/>
      <c r="C649" s="67"/>
      <c r="D649" s="14"/>
      <c r="E649" s="56"/>
      <c r="F649" s="52"/>
      <c r="G649" s="55"/>
    </row>
    <row r="650">
      <c r="A650" s="64"/>
      <c r="B650" s="64"/>
      <c r="C650" s="67"/>
      <c r="D650" s="14"/>
      <c r="E650" s="56"/>
      <c r="F650" s="52"/>
      <c r="G650" s="55"/>
    </row>
    <row r="651">
      <c r="A651" s="64"/>
      <c r="B651" s="64"/>
      <c r="C651" s="67"/>
      <c r="D651" s="14"/>
      <c r="E651" s="56"/>
      <c r="F651" s="52"/>
      <c r="G651" s="55"/>
    </row>
    <row r="652">
      <c r="A652" s="64"/>
      <c r="B652" s="64"/>
      <c r="C652" s="67"/>
      <c r="D652" s="14"/>
      <c r="E652" s="56"/>
      <c r="F652" s="52"/>
      <c r="G652" s="55"/>
    </row>
    <row r="653">
      <c r="A653" s="64"/>
      <c r="B653" s="64"/>
      <c r="C653" s="67"/>
      <c r="D653" s="14"/>
      <c r="E653" s="56"/>
      <c r="F653" s="52"/>
      <c r="G653" s="55"/>
    </row>
    <row r="654">
      <c r="A654" s="64"/>
      <c r="B654" s="64"/>
      <c r="C654" s="67"/>
      <c r="D654" s="14"/>
      <c r="E654" s="56"/>
      <c r="F654" s="52"/>
      <c r="G654" s="55"/>
    </row>
    <row r="655">
      <c r="A655" s="64"/>
      <c r="B655" s="64"/>
      <c r="C655" s="67"/>
      <c r="D655" s="14"/>
      <c r="E655" s="56"/>
      <c r="F655" s="52"/>
      <c r="G655" s="55"/>
    </row>
    <row r="656">
      <c r="A656" s="64"/>
      <c r="B656" s="64"/>
      <c r="C656" s="67"/>
      <c r="D656" s="14"/>
      <c r="E656" s="56"/>
      <c r="F656" s="52"/>
      <c r="G656" s="55"/>
    </row>
    <row r="657">
      <c r="A657" s="64"/>
      <c r="B657" s="64"/>
      <c r="C657" s="67"/>
      <c r="D657" s="14"/>
      <c r="E657" s="56"/>
      <c r="F657" s="52"/>
      <c r="G657" s="55"/>
    </row>
    <row r="658">
      <c r="A658" s="64"/>
      <c r="B658" s="64"/>
      <c r="C658" s="67"/>
      <c r="D658" s="14"/>
      <c r="E658" s="56"/>
      <c r="F658" s="52"/>
      <c r="G658" s="55"/>
    </row>
    <row r="659">
      <c r="A659" s="64"/>
      <c r="B659" s="64"/>
      <c r="C659" s="67"/>
      <c r="D659" s="14"/>
      <c r="E659" s="56"/>
      <c r="F659" s="52"/>
      <c r="G659" s="55"/>
    </row>
    <row r="660">
      <c r="A660" s="64"/>
      <c r="B660" s="64"/>
      <c r="C660" s="67"/>
      <c r="D660" s="14"/>
      <c r="E660" s="56"/>
      <c r="F660" s="52"/>
      <c r="G660" s="55"/>
    </row>
    <row r="661">
      <c r="A661" s="64"/>
      <c r="B661" s="64"/>
      <c r="C661" s="67"/>
      <c r="D661" s="14"/>
      <c r="E661" s="56"/>
      <c r="F661" s="52"/>
      <c r="G661" s="55"/>
    </row>
    <row r="662">
      <c r="A662" s="64"/>
      <c r="B662" s="64"/>
      <c r="C662" s="67"/>
      <c r="D662" s="14"/>
      <c r="E662" s="56"/>
      <c r="F662" s="52"/>
      <c r="G662" s="55"/>
    </row>
    <row r="663">
      <c r="A663" s="64"/>
      <c r="B663" s="64"/>
      <c r="C663" s="67"/>
      <c r="D663" s="14"/>
      <c r="E663" s="56"/>
      <c r="F663" s="52"/>
      <c r="G663" s="55"/>
    </row>
    <row r="664">
      <c r="A664" s="64"/>
      <c r="B664" s="64"/>
      <c r="C664" s="67"/>
      <c r="D664" s="14"/>
      <c r="E664" s="56"/>
      <c r="F664" s="52"/>
      <c r="G664" s="55"/>
    </row>
    <row r="665">
      <c r="A665" s="64"/>
      <c r="B665" s="64"/>
      <c r="C665" s="67"/>
      <c r="D665" s="14"/>
      <c r="E665" s="56"/>
      <c r="F665" s="52"/>
      <c r="G665" s="55"/>
    </row>
    <row r="666">
      <c r="A666" s="64"/>
      <c r="B666" s="64"/>
      <c r="C666" s="67"/>
      <c r="D666" s="14"/>
      <c r="E666" s="56"/>
      <c r="F666" s="52"/>
      <c r="G666" s="55"/>
    </row>
    <row r="667">
      <c r="A667" s="64"/>
      <c r="B667" s="64"/>
      <c r="C667" s="67"/>
      <c r="D667" s="14"/>
      <c r="E667" s="56"/>
      <c r="F667" s="52"/>
      <c r="G667" s="55"/>
    </row>
    <row r="668">
      <c r="A668" s="64"/>
      <c r="B668" s="64"/>
      <c r="C668" s="67"/>
      <c r="D668" s="14"/>
      <c r="E668" s="56"/>
      <c r="F668" s="52"/>
      <c r="G668" s="55"/>
    </row>
    <row r="669">
      <c r="A669" s="64"/>
      <c r="B669" s="64"/>
      <c r="C669" s="67"/>
      <c r="D669" s="14"/>
      <c r="E669" s="56"/>
      <c r="F669" s="52"/>
      <c r="G669" s="55"/>
    </row>
    <row r="670">
      <c r="A670" s="64"/>
      <c r="B670" s="64"/>
      <c r="C670" s="67"/>
      <c r="D670" s="14"/>
      <c r="E670" s="56"/>
      <c r="F670" s="52"/>
      <c r="G670" s="55"/>
    </row>
    <row r="671">
      <c r="A671" s="64"/>
      <c r="B671" s="64"/>
      <c r="C671" s="67"/>
      <c r="D671" s="14"/>
      <c r="E671" s="56"/>
      <c r="F671" s="52"/>
      <c r="G671" s="55"/>
    </row>
    <row r="672">
      <c r="A672" s="64"/>
      <c r="B672" s="64"/>
      <c r="C672" s="67"/>
      <c r="D672" s="14"/>
      <c r="E672" s="56"/>
      <c r="F672" s="52"/>
      <c r="G672" s="55"/>
    </row>
    <row r="673">
      <c r="A673" s="64"/>
      <c r="B673" s="64"/>
      <c r="C673" s="67"/>
      <c r="D673" s="14"/>
      <c r="E673" s="56"/>
      <c r="F673" s="52"/>
      <c r="G673" s="55"/>
    </row>
    <row r="674">
      <c r="A674" s="64"/>
      <c r="B674" s="64"/>
      <c r="C674" s="67"/>
      <c r="D674" s="14"/>
      <c r="E674" s="56"/>
      <c r="F674" s="52"/>
      <c r="G674" s="55"/>
    </row>
    <row r="675">
      <c r="A675" s="64"/>
      <c r="B675" s="64"/>
      <c r="C675" s="67"/>
      <c r="D675" s="14"/>
      <c r="E675" s="56"/>
      <c r="F675" s="52"/>
      <c r="G675" s="55"/>
    </row>
    <row r="676">
      <c r="A676" s="64"/>
      <c r="B676" s="64"/>
      <c r="C676" s="67"/>
      <c r="D676" s="14"/>
      <c r="E676" s="56"/>
      <c r="F676" s="52"/>
      <c r="G676" s="55"/>
    </row>
    <row r="677">
      <c r="A677" s="64"/>
      <c r="B677" s="64"/>
      <c r="C677" s="67"/>
      <c r="D677" s="14"/>
      <c r="E677" s="56"/>
      <c r="F677" s="52"/>
      <c r="G677" s="55"/>
    </row>
    <row r="678">
      <c r="A678" s="64"/>
      <c r="B678" s="64"/>
      <c r="C678" s="67"/>
      <c r="D678" s="14"/>
      <c r="E678" s="56"/>
      <c r="F678" s="52"/>
      <c r="G678" s="55"/>
    </row>
    <row r="679">
      <c r="A679" s="64"/>
      <c r="B679" s="64"/>
      <c r="C679" s="67"/>
      <c r="D679" s="14"/>
      <c r="E679" s="56"/>
      <c r="F679" s="52"/>
      <c r="G679" s="55"/>
    </row>
    <row r="680">
      <c r="A680" s="64"/>
      <c r="B680" s="64"/>
      <c r="C680" s="67"/>
      <c r="D680" s="14"/>
      <c r="E680" s="56"/>
      <c r="F680" s="52"/>
      <c r="G680" s="55"/>
    </row>
    <row r="681">
      <c r="A681" s="64"/>
      <c r="B681" s="64"/>
      <c r="C681" s="67"/>
      <c r="D681" s="14"/>
      <c r="E681" s="56"/>
      <c r="F681" s="52"/>
      <c r="G681" s="55"/>
    </row>
    <row r="682">
      <c r="A682" s="64"/>
      <c r="B682" s="64"/>
      <c r="C682" s="67"/>
      <c r="D682" s="14"/>
      <c r="E682" s="56"/>
      <c r="F682" s="52"/>
      <c r="G682" s="55"/>
    </row>
    <row r="683">
      <c r="A683" s="64"/>
      <c r="B683" s="64"/>
      <c r="C683" s="67"/>
      <c r="D683" s="14"/>
      <c r="E683" s="56"/>
      <c r="F683" s="52"/>
      <c r="G683" s="55"/>
    </row>
    <row r="684">
      <c r="A684" s="64"/>
      <c r="B684" s="64"/>
      <c r="C684" s="67"/>
      <c r="D684" s="14"/>
      <c r="E684" s="56"/>
      <c r="F684" s="52"/>
      <c r="G684" s="55"/>
    </row>
    <row r="685">
      <c r="A685" s="64"/>
      <c r="B685" s="64"/>
      <c r="C685" s="67"/>
      <c r="D685" s="14"/>
      <c r="E685" s="56"/>
      <c r="F685" s="52"/>
      <c r="G685" s="55"/>
    </row>
    <row r="686">
      <c r="A686" s="64"/>
      <c r="B686" s="64"/>
      <c r="C686" s="67"/>
      <c r="D686" s="14"/>
      <c r="E686" s="56"/>
      <c r="F686" s="52"/>
      <c r="G686" s="55"/>
    </row>
    <row r="687">
      <c r="A687" s="64"/>
      <c r="B687" s="64"/>
      <c r="C687" s="67"/>
      <c r="D687" s="14"/>
      <c r="E687" s="56"/>
      <c r="F687" s="52"/>
      <c r="G687" s="55"/>
    </row>
    <row r="688">
      <c r="A688" s="64"/>
      <c r="B688" s="64"/>
      <c r="C688" s="67"/>
      <c r="D688" s="14"/>
      <c r="E688" s="56"/>
      <c r="F688" s="52"/>
      <c r="G688" s="55"/>
    </row>
    <row r="689">
      <c r="A689" s="64"/>
      <c r="B689" s="64"/>
      <c r="C689" s="67"/>
      <c r="D689" s="14"/>
      <c r="E689" s="56"/>
      <c r="F689" s="52"/>
      <c r="G689" s="55"/>
    </row>
    <row r="690">
      <c r="A690" s="64"/>
      <c r="B690" s="64"/>
      <c r="C690" s="67"/>
      <c r="D690" s="14"/>
      <c r="E690" s="56"/>
      <c r="F690" s="52"/>
      <c r="G690" s="55"/>
    </row>
    <row r="691">
      <c r="A691" s="64"/>
      <c r="B691" s="64"/>
      <c r="C691" s="67"/>
      <c r="D691" s="14"/>
      <c r="E691" s="56"/>
      <c r="F691" s="52"/>
      <c r="G691" s="55"/>
    </row>
    <row r="692">
      <c r="A692" s="64"/>
      <c r="B692" s="64"/>
      <c r="C692" s="67"/>
      <c r="D692" s="14"/>
      <c r="E692" s="56"/>
      <c r="F692" s="52"/>
      <c r="G692" s="55"/>
    </row>
    <row r="693">
      <c r="A693" s="64"/>
      <c r="B693" s="64"/>
      <c r="C693" s="67"/>
      <c r="D693" s="14"/>
      <c r="E693" s="56"/>
      <c r="F693" s="52"/>
      <c r="G693" s="55"/>
    </row>
    <row r="694">
      <c r="A694" s="64"/>
      <c r="B694" s="64"/>
      <c r="C694" s="67"/>
      <c r="D694" s="14"/>
      <c r="E694" s="56"/>
      <c r="F694" s="52"/>
      <c r="G694" s="55"/>
    </row>
    <row r="695">
      <c r="A695" s="64"/>
      <c r="B695" s="64"/>
      <c r="C695" s="67"/>
      <c r="D695" s="14"/>
      <c r="E695" s="56"/>
      <c r="F695" s="52"/>
      <c r="G695" s="55"/>
    </row>
    <row r="696">
      <c r="A696" s="64"/>
      <c r="B696" s="64"/>
      <c r="C696" s="67"/>
      <c r="D696" s="14"/>
      <c r="E696" s="56"/>
      <c r="F696" s="52"/>
      <c r="G696" s="55"/>
    </row>
    <row r="697">
      <c r="A697" s="64"/>
      <c r="B697" s="64"/>
      <c r="C697" s="67"/>
      <c r="D697" s="14"/>
      <c r="E697" s="56"/>
      <c r="F697" s="52"/>
      <c r="G697" s="55"/>
    </row>
    <row r="698">
      <c r="A698" s="64"/>
      <c r="B698" s="64"/>
      <c r="C698" s="67"/>
      <c r="D698" s="14"/>
      <c r="E698" s="56"/>
      <c r="F698" s="52"/>
      <c r="G698" s="55"/>
    </row>
    <row r="699">
      <c r="A699" s="64"/>
      <c r="B699" s="64"/>
      <c r="C699" s="67"/>
      <c r="D699" s="14"/>
      <c r="E699" s="56"/>
      <c r="F699" s="52"/>
      <c r="G699" s="55"/>
    </row>
    <row r="700">
      <c r="A700" s="64"/>
      <c r="B700" s="64"/>
      <c r="C700" s="67"/>
      <c r="D700" s="14"/>
      <c r="E700" s="56"/>
      <c r="F700" s="52"/>
      <c r="G700" s="55"/>
    </row>
    <row r="701">
      <c r="A701" s="64"/>
      <c r="B701" s="64"/>
      <c r="C701" s="67"/>
      <c r="D701" s="14"/>
      <c r="E701" s="56"/>
      <c r="F701" s="52"/>
      <c r="G701" s="55"/>
    </row>
    <row r="702">
      <c r="A702" s="64"/>
      <c r="B702" s="64"/>
      <c r="C702" s="67"/>
      <c r="D702" s="14"/>
      <c r="E702" s="56"/>
      <c r="F702" s="52"/>
      <c r="G702" s="55"/>
    </row>
    <row r="703">
      <c r="A703" s="64"/>
      <c r="B703" s="64"/>
      <c r="C703" s="67"/>
      <c r="D703" s="14"/>
      <c r="E703" s="56"/>
      <c r="F703" s="52"/>
      <c r="G703" s="55"/>
    </row>
    <row r="704">
      <c r="A704" s="64"/>
      <c r="B704" s="64"/>
      <c r="C704" s="67"/>
      <c r="D704" s="14"/>
      <c r="E704" s="56"/>
      <c r="F704" s="52"/>
      <c r="G704" s="55"/>
    </row>
    <row r="705">
      <c r="A705" s="64"/>
      <c r="B705" s="64"/>
      <c r="C705" s="67"/>
      <c r="D705" s="14"/>
      <c r="E705" s="56"/>
      <c r="F705" s="52"/>
      <c r="G705" s="55"/>
    </row>
    <row r="706">
      <c r="A706" s="64"/>
      <c r="B706" s="64"/>
      <c r="C706" s="67"/>
      <c r="D706" s="14"/>
      <c r="E706" s="56"/>
      <c r="F706" s="52"/>
      <c r="G706" s="55"/>
    </row>
    <row r="707">
      <c r="A707" s="64"/>
      <c r="B707" s="64"/>
      <c r="C707" s="67"/>
      <c r="D707" s="14"/>
      <c r="E707" s="56"/>
      <c r="F707" s="52"/>
      <c r="G707" s="55"/>
    </row>
    <row r="708">
      <c r="A708" s="64"/>
      <c r="B708" s="64"/>
      <c r="C708" s="67"/>
      <c r="D708" s="14"/>
      <c r="E708" s="56"/>
      <c r="F708" s="52"/>
      <c r="G708" s="55"/>
    </row>
    <row r="709">
      <c r="A709" s="64"/>
      <c r="B709" s="64"/>
      <c r="C709" s="67"/>
      <c r="D709" s="14"/>
      <c r="E709" s="56"/>
      <c r="F709" s="52"/>
      <c r="G709" s="55"/>
    </row>
    <row r="710">
      <c r="A710" s="64"/>
      <c r="B710" s="64"/>
      <c r="C710" s="67"/>
      <c r="D710" s="14"/>
      <c r="E710" s="56"/>
      <c r="F710" s="52"/>
      <c r="G710" s="55"/>
    </row>
    <row r="711">
      <c r="A711" s="64"/>
      <c r="B711" s="64"/>
      <c r="C711" s="67"/>
      <c r="D711" s="14"/>
      <c r="E711" s="56"/>
      <c r="F711" s="52"/>
      <c r="G711" s="55"/>
    </row>
    <row r="712">
      <c r="A712" s="64"/>
      <c r="B712" s="64"/>
      <c r="C712" s="67"/>
      <c r="D712" s="14"/>
      <c r="E712" s="56"/>
      <c r="F712" s="52"/>
      <c r="G712" s="55"/>
    </row>
    <row r="713">
      <c r="A713" s="64"/>
      <c r="B713" s="64"/>
      <c r="C713" s="67"/>
      <c r="D713" s="14"/>
      <c r="E713" s="56"/>
      <c r="F713" s="52"/>
      <c r="G713" s="55"/>
    </row>
    <row r="714">
      <c r="A714" s="64"/>
      <c r="B714" s="64"/>
      <c r="C714" s="67"/>
      <c r="D714" s="14"/>
      <c r="E714" s="56"/>
      <c r="F714" s="52"/>
      <c r="G714" s="55"/>
    </row>
    <row r="715">
      <c r="A715" s="64"/>
      <c r="B715" s="64"/>
      <c r="C715" s="67"/>
      <c r="D715" s="14"/>
      <c r="E715" s="56"/>
      <c r="F715" s="52"/>
      <c r="G715" s="55"/>
    </row>
    <row r="716">
      <c r="A716" s="64"/>
      <c r="B716" s="64"/>
      <c r="C716" s="67"/>
      <c r="D716" s="14"/>
      <c r="E716" s="56"/>
      <c r="F716" s="52"/>
      <c r="G716" s="55"/>
    </row>
    <row r="717">
      <c r="A717" s="64"/>
      <c r="B717" s="64"/>
      <c r="C717" s="67"/>
      <c r="D717" s="14"/>
      <c r="E717" s="56"/>
      <c r="F717" s="52"/>
      <c r="G717" s="55"/>
    </row>
    <row r="718">
      <c r="A718" s="64"/>
      <c r="B718" s="64"/>
      <c r="C718" s="67"/>
      <c r="D718" s="14"/>
      <c r="E718" s="56"/>
      <c r="F718" s="52"/>
      <c r="G718" s="55"/>
    </row>
    <row r="719">
      <c r="A719" s="64"/>
      <c r="B719" s="64"/>
      <c r="C719" s="67"/>
      <c r="D719" s="14"/>
      <c r="E719" s="56"/>
      <c r="F719" s="52"/>
      <c r="G719" s="55"/>
    </row>
    <row r="720">
      <c r="A720" s="64"/>
      <c r="B720" s="64"/>
      <c r="C720" s="67"/>
      <c r="D720" s="14"/>
      <c r="E720" s="56"/>
      <c r="F720" s="52"/>
      <c r="G720" s="55"/>
    </row>
    <row r="721">
      <c r="A721" s="64"/>
      <c r="B721" s="64"/>
      <c r="C721" s="67"/>
      <c r="D721" s="14"/>
      <c r="E721" s="56"/>
      <c r="F721" s="52"/>
      <c r="G721" s="55"/>
    </row>
    <row r="722">
      <c r="A722" s="64"/>
      <c r="B722" s="64"/>
      <c r="C722" s="67"/>
      <c r="D722" s="14"/>
      <c r="E722" s="56"/>
      <c r="F722" s="52"/>
      <c r="G722" s="55"/>
    </row>
    <row r="723">
      <c r="A723" s="64"/>
      <c r="B723" s="64"/>
      <c r="C723" s="67"/>
      <c r="D723" s="14"/>
      <c r="E723" s="56"/>
      <c r="F723" s="52"/>
      <c r="G723" s="55"/>
    </row>
    <row r="724">
      <c r="A724" s="64"/>
      <c r="B724" s="64"/>
      <c r="C724" s="67"/>
      <c r="D724" s="14"/>
      <c r="E724" s="56"/>
      <c r="F724" s="52"/>
      <c r="G724" s="55"/>
    </row>
    <row r="725">
      <c r="A725" s="64"/>
      <c r="B725" s="64"/>
      <c r="C725" s="67"/>
      <c r="D725" s="14"/>
      <c r="E725" s="56"/>
      <c r="F725" s="52"/>
      <c r="G725" s="55"/>
    </row>
    <row r="726">
      <c r="A726" s="64"/>
      <c r="B726" s="64"/>
      <c r="C726" s="67"/>
      <c r="D726" s="14"/>
      <c r="E726" s="56"/>
      <c r="F726" s="52"/>
      <c r="G726" s="55"/>
    </row>
    <row r="727">
      <c r="A727" s="64"/>
      <c r="B727" s="64"/>
      <c r="C727" s="67"/>
      <c r="D727" s="14"/>
      <c r="E727" s="56"/>
      <c r="F727" s="52"/>
      <c r="G727" s="55"/>
    </row>
    <row r="728">
      <c r="A728" s="64"/>
      <c r="B728" s="64"/>
      <c r="C728" s="67"/>
      <c r="D728" s="14"/>
      <c r="E728" s="56"/>
      <c r="F728" s="52"/>
      <c r="G728" s="55"/>
    </row>
    <row r="729">
      <c r="A729" s="64"/>
      <c r="B729" s="64"/>
      <c r="C729" s="67"/>
      <c r="D729" s="14"/>
      <c r="E729" s="56"/>
      <c r="F729" s="52"/>
      <c r="G729" s="55"/>
    </row>
    <row r="730">
      <c r="A730" s="64"/>
      <c r="B730" s="64"/>
      <c r="C730" s="67"/>
      <c r="D730" s="14"/>
      <c r="E730" s="56"/>
      <c r="F730" s="52"/>
      <c r="G730" s="55"/>
    </row>
    <row r="731">
      <c r="A731" s="64"/>
      <c r="B731" s="64"/>
      <c r="C731" s="67"/>
      <c r="D731" s="14"/>
      <c r="E731" s="56"/>
      <c r="F731" s="52"/>
      <c r="G731" s="55"/>
    </row>
    <row r="732">
      <c r="A732" s="64"/>
      <c r="B732" s="64"/>
      <c r="C732" s="67"/>
      <c r="D732" s="14"/>
      <c r="E732" s="56"/>
      <c r="F732" s="52"/>
      <c r="G732" s="55"/>
    </row>
    <row r="733">
      <c r="A733" s="64"/>
      <c r="B733" s="64"/>
      <c r="C733" s="67"/>
      <c r="D733" s="14"/>
      <c r="E733" s="56"/>
      <c r="F733" s="52"/>
      <c r="G733" s="55"/>
    </row>
    <row r="734">
      <c r="A734" s="64"/>
      <c r="B734" s="64"/>
      <c r="C734" s="67"/>
      <c r="D734" s="14"/>
      <c r="E734" s="56"/>
      <c r="F734" s="52"/>
      <c r="G734" s="55"/>
    </row>
    <row r="735">
      <c r="A735" s="64"/>
      <c r="B735" s="64"/>
      <c r="C735" s="67"/>
      <c r="D735" s="14"/>
      <c r="E735" s="56"/>
      <c r="F735" s="52"/>
      <c r="G735" s="55"/>
    </row>
    <row r="736">
      <c r="A736" s="64"/>
      <c r="B736" s="64"/>
      <c r="C736" s="67"/>
      <c r="D736" s="14"/>
      <c r="E736" s="56"/>
      <c r="F736" s="52"/>
      <c r="G736" s="55"/>
    </row>
    <row r="737">
      <c r="A737" s="64"/>
      <c r="B737" s="64"/>
      <c r="C737" s="67"/>
      <c r="D737" s="14"/>
      <c r="E737" s="56"/>
      <c r="F737" s="52"/>
      <c r="G737" s="55"/>
    </row>
    <row r="738">
      <c r="A738" s="64"/>
      <c r="B738" s="64"/>
      <c r="C738" s="67"/>
      <c r="D738" s="14"/>
      <c r="E738" s="56"/>
      <c r="F738" s="52"/>
      <c r="G738" s="55"/>
    </row>
    <row r="739">
      <c r="A739" s="64"/>
      <c r="B739" s="64"/>
      <c r="C739" s="67"/>
      <c r="D739" s="14"/>
      <c r="E739" s="56"/>
      <c r="F739" s="52"/>
      <c r="G739" s="55"/>
    </row>
    <row r="740">
      <c r="A740" s="64"/>
      <c r="B740" s="64"/>
      <c r="C740" s="67"/>
      <c r="D740" s="14"/>
      <c r="E740" s="56"/>
      <c r="F740" s="52"/>
      <c r="G740" s="55"/>
    </row>
    <row r="741">
      <c r="A741" s="64"/>
      <c r="B741" s="64"/>
      <c r="C741" s="67"/>
      <c r="D741" s="14"/>
      <c r="E741" s="56"/>
      <c r="F741" s="52"/>
      <c r="G741" s="55"/>
    </row>
    <row r="742">
      <c r="A742" s="64"/>
      <c r="B742" s="64"/>
      <c r="C742" s="67"/>
      <c r="D742" s="14"/>
      <c r="E742" s="56"/>
      <c r="F742" s="52"/>
      <c r="G742" s="55"/>
    </row>
    <row r="743">
      <c r="A743" s="64"/>
      <c r="B743" s="64"/>
      <c r="C743" s="67"/>
      <c r="D743" s="14"/>
      <c r="E743" s="56"/>
      <c r="F743" s="52"/>
      <c r="G743" s="55"/>
    </row>
    <row r="744">
      <c r="A744" s="64"/>
      <c r="B744" s="64"/>
      <c r="C744" s="67"/>
      <c r="D744" s="14"/>
      <c r="E744" s="56"/>
      <c r="F744" s="52"/>
      <c r="G744" s="55"/>
    </row>
    <row r="745">
      <c r="A745" s="64"/>
      <c r="B745" s="64"/>
      <c r="C745" s="67"/>
      <c r="D745" s="14"/>
      <c r="E745" s="56"/>
      <c r="F745" s="52"/>
      <c r="G745" s="55"/>
    </row>
    <row r="746">
      <c r="A746" s="64"/>
      <c r="B746" s="64"/>
      <c r="C746" s="67"/>
      <c r="D746" s="14"/>
      <c r="E746" s="56"/>
      <c r="F746" s="52"/>
      <c r="G746" s="55"/>
    </row>
    <row r="747">
      <c r="A747" s="64"/>
      <c r="B747" s="64"/>
      <c r="C747" s="67"/>
      <c r="D747" s="14"/>
      <c r="E747" s="56"/>
      <c r="F747" s="52"/>
      <c r="G747" s="55"/>
    </row>
    <row r="748">
      <c r="A748" s="64"/>
      <c r="B748" s="64"/>
      <c r="C748" s="67"/>
      <c r="D748" s="14"/>
      <c r="E748" s="56"/>
      <c r="F748" s="52"/>
      <c r="G748" s="55"/>
    </row>
    <row r="749">
      <c r="A749" s="64"/>
      <c r="B749" s="64"/>
      <c r="C749" s="67"/>
      <c r="D749" s="14"/>
      <c r="E749" s="56"/>
      <c r="F749" s="52"/>
      <c r="G749" s="55"/>
    </row>
    <row r="750">
      <c r="A750" s="64"/>
      <c r="B750" s="64"/>
      <c r="C750" s="67"/>
      <c r="D750" s="14"/>
      <c r="E750" s="56"/>
      <c r="F750" s="52"/>
      <c r="G750" s="55"/>
    </row>
    <row r="751">
      <c r="A751" s="64"/>
      <c r="B751" s="64"/>
      <c r="C751" s="67"/>
      <c r="D751" s="14"/>
      <c r="E751" s="56"/>
      <c r="F751" s="52"/>
      <c r="G751" s="55"/>
    </row>
    <row r="752">
      <c r="A752" s="64"/>
      <c r="B752" s="64"/>
      <c r="C752" s="67"/>
      <c r="D752" s="14"/>
      <c r="E752" s="56"/>
      <c r="F752" s="52"/>
      <c r="G752" s="55"/>
    </row>
    <row r="753">
      <c r="A753" s="64"/>
      <c r="B753" s="64"/>
      <c r="C753" s="67"/>
      <c r="D753" s="14"/>
      <c r="E753" s="56"/>
      <c r="F753" s="52"/>
      <c r="G753" s="55"/>
    </row>
    <row r="754">
      <c r="A754" s="64"/>
      <c r="B754" s="64"/>
      <c r="C754" s="67"/>
      <c r="D754" s="14"/>
      <c r="E754" s="56"/>
      <c r="F754" s="52"/>
      <c r="G754" s="55"/>
    </row>
    <row r="755">
      <c r="A755" s="64"/>
      <c r="B755" s="64"/>
      <c r="C755" s="67"/>
      <c r="D755" s="14"/>
      <c r="E755" s="56"/>
      <c r="F755" s="52"/>
      <c r="G755" s="55"/>
    </row>
    <row r="756">
      <c r="A756" s="64"/>
      <c r="B756" s="64"/>
      <c r="C756" s="67"/>
      <c r="D756" s="14"/>
      <c r="E756" s="56"/>
      <c r="F756" s="52"/>
      <c r="G756" s="55"/>
    </row>
    <row r="757">
      <c r="A757" s="64"/>
      <c r="B757" s="64"/>
      <c r="C757" s="67"/>
      <c r="D757" s="14"/>
      <c r="E757" s="56"/>
      <c r="F757" s="52"/>
      <c r="G757" s="55"/>
    </row>
    <row r="758">
      <c r="A758" s="64"/>
      <c r="B758" s="64"/>
      <c r="C758" s="67"/>
      <c r="D758" s="14"/>
      <c r="E758" s="56"/>
      <c r="F758" s="52"/>
      <c r="G758" s="55"/>
    </row>
    <row r="759">
      <c r="A759" s="64"/>
      <c r="B759" s="64"/>
      <c r="C759" s="67"/>
      <c r="D759" s="14"/>
      <c r="E759" s="56"/>
      <c r="F759" s="52"/>
      <c r="G759" s="55"/>
    </row>
    <row r="760">
      <c r="A760" s="64"/>
      <c r="B760" s="64"/>
      <c r="C760" s="67"/>
      <c r="D760" s="14"/>
      <c r="E760" s="56"/>
      <c r="F760" s="52"/>
      <c r="G760" s="55"/>
    </row>
    <row r="761">
      <c r="A761" s="64"/>
      <c r="B761" s="64"/>
      <c r="C761" s="67"/>
      <c r="D761" s="14"/>
      <c r="E761" s="56"/>
      <c r="F761" s="52"/>
      <c r="G761" s="55"/>
    </row>
    <row r="762">
      <c r="A762" s="64"/>
      <c r="B762" s="64"/>
      <c r="C762" s="67"/>
      <c r="D762" s="14"/>
      <c r="E762" s="56"/>
      <c r="F762" s="52"/>
      <c r="G762" s="55"/>
    </row>
    <row r="763">
      <c r="A763" s="64"/>
      <c r="B763" s="64"/>
      <c r="C763" s="67"/>
      <c r="D763" s="14"/>
      <c r="E763" s="56"/>
      <c r="F763" s="52"/>
      <c r="G763" s="55"/>
    </row>
    <row r="764">
      <c r="A764" s="64"/>
      <c r="B764" s="64"/>
      <c r="C764" s="67"/>
      <c r="D764" s="14"/>
      <c r="E764" s="56"/>
      <c r="F764" s="52"/>
      <c r="G764" s="55"/>
    </row>
    <row r="765">
      <c r="A765" s="64"/>
      <c r="B765" s="64"/>
      <c r="C765" s="67"/>
      <c r="D765" s="14"/>
      <c r="E765" s="56"/>
      <c r="F765" s="52"/>
      <c r="G765" s="55"/>
    </row>
    <row r="766">
      <c r="A766" s="64"/>
      <c r="B766" s="64"/>
      <c r="C766" s="67"/>
      <c r="D766" s="14"/>
      <c r="E766" s="56"/>
      <c r="F766" s="52"/>
      <c r="G766" s="55"/>
    </row>
    <row r="767">
      <c r="A767" s="64"/>
      <c r="B767" s="64"/>
      <c r="C767" s="67"/>
      <c r="D767" s="14"/>
      <c r="E767" s="56"/>
      <c r="F767" s="52"/>
      <c r="G767" s="55"/>
    </row>
    <row r="768">
      <c r="A768" s="64"/>
      <c r="B768" s="64"/>
      <c r="C768" s="67"/>
      <c r="D768" s="14"/>
      <c r="E768" s="56"/>
      <c r="F768" s="52"/>
      <c r="G768" s="55"/>
    </row>
    <row r="769">
      <c r="A769" s="64"/>
      <c r="B769" s="64"/>
      <c r="C769" s="67"/>
      <c r="D769" s="14"/>
      <c r="E769" s="56"/>
      <c r="F769" s="52"/>
      <c r="G769" s="55"/>
    </row>
    <row r="770">
      <c r="A770" s="64"/>
      <c r="B770" s="64"/>
      <c r="C770" s="67"/>
      <c r="D770" s="14"/>
      <c r="E770" s="56"/>
      <c r="F770" s="52"/>
      <c r="G770" s="55"/>
    </row>
    <row r="771">
      <c r="A771" s="64"/>
      <c r="B771" s="64"/>
      <c r="C771" s="67"/>
      <c r="D771" s="14"/>
      <c r="E771" s="56"/>
      <c r="F771" s="52"/>
      <c r="G771" s="55"/>
    </row>
    <row r="772">
      <c r="A772" s="64"/>
      <c r="B772" s="64"/>
      <c r="C772" s="67"/>
      <c r="D772" s="14"/>
      <c r="E772" s="56"/>
      <c r="F772" s="52"/>
      <c r="G772" s="55"/>
    </row>
    <row r="773">
      <c r="A773" s="64"/>
      <c r="B773" s="64"/>
      <c r="C773" s="67"/>
      <c r="D773" s="14"/>
      <c r="E773" s="56"/>
      <c r="F773" s="52"/>
      <c r="G773" s="55"/>
    </row>
    <row r="774">
      <c r="A774" s="64"/>
      <c r="B774" s="64"/>
      <c r="C774" s="67"/>
      <c r="D774" s="14"/>
      <c r="E774" s="56"/>
      <c r="F774" s="52"/>
      <c r="G774" s="55"/>
    </row>
    <row r="775">
      <c r="A775" s="64"/>
      <c r="B775" s="64"/>
      <c r="C775" s="67"/>
      <c r="D775" s="14"/>
      <c r="E775" s="56"/>
      <c r="F775" s="52"/>
      <c r="G775" s="55"/>
    </row>
    <row r="776">
      <c r="A776" s="64"/>
      <c r="B776" s="64"/>
      <c r="C776" s="67"/>
      <c r="D776" s="14"/>
      <c r="E776" s="56"/>
      <c r="F776" s="52"/>
      <c r="G776" s="55"/>
    </row>
    <row r="777">
      <c r="A777" s="64"/>
      <c r="B777" s="64"/>
      <c r="C777" s="67"/>
      <c r="D777" s="14"/>
      <c r="E777" s="56"/>
      <c r="F777" s="52"/>
      <c r="G777" s="55"/>
    </row>
    <row r="778">
      <c r="A778" s="64"/>
      <c r="B778" s="64"/>
      <c r="C778" s="67"/>
      <c r="D778" s="14"/>
      <c r="E778" s="56"/>
      <c r="F778" s="52"/>
      <c r="G778" s="55"/>
    </row>
    <row r="779">
      <c r="A779" s="64"/>
      <c r="B779" s="64"/>
      <c r="C779" s="67"/>
      <c r="D779" s="14"/>
      <c r="E779" s="56"/>
      <c r="F779" s="52"/>
      <c r="G779" s="55"/>
    </row>
    <row r="780">
      <c r="A780" s="64"/>
      <c r="B780" s="64"/>
      <c r="C780" s="67"/>
      <c r="D780" s="14"/>
      <c r="E780" s="56"/>
      <c r="F780" s="52"/>
      <c r="G780" s="55"/>
    </row>
    <row r="781">
      <c r="A781" s="64"/>
      <c r="B781" s="64"/>
      <c r="C781" s="67"/>
      <c r="D781" s="14"/>
      <c r="E781" s="56"/>
      <c r="F781" s="52"/>
      <c r="G781" s="55"/>
    </row>
    <row r="782">
      <c r="A782" s="64"/>
      <c r="B782" s="64"/>
      <c r="C782" s="67"/>
      <c r="D782" s="14"/>
      <c r="E782" s="56"/>
      <c r="F782" s="52"/>
      <c r="G782" s="55"/>
    </row>
    <row r="783">
      <c r="A783" s="64"/>
      <c r="B783" s="64"/>
      <c r="C783" s="67"/>
      <c r="D783" s="14"/>
      <c r="E783" s="56"/>
      <c r="F783" s="52"/>
      <c r="G783" s="55"/>
    </row>
    <row r="784">
      <c r="A784" s="64"/>
      <c r="B784" s="64"/>
      <c r="C784" s="67"/>
      <c r="D784" s="14"/>
      <c r="E784" s="56"/>
      <c r="F784" s="52"/>
      <c r="G784" s="55"/>
    </row>
    <row r="785">
      <c r="A785" s="64"/>
      <c r="B785" s="64"/>
      <c r="C785" s="67"/>
      <c r="D785" s="14"/>
      <c r="E785" s="56"/>
      <c r="F785" s="52"/>
      <c r="G785" s="55"/>
    </row>
    <row r="786">
      <c r="A786" s="64"/>
      <c r="B786" s="64"/>
      <c r="C786" s="67"/>
      <c r="D786" s="14"/>
      <c r="E786" s="56"/>
      <c r="F786" s="52"/>
      <c r="G786" s="55"/>
    </row>
    <row r="787">
      <c r="A787" s="64"/>
      <c r="B787" s="64"/>
      <c r="C787" s="67"/>
      <c r="D787" s="14"/>
      <c r="E787" s="56"/>
      <c r="F787" s="52"/>
      <c r="G787" s="55"/>
    </row>
    <row r="788">
      <c r="A788" s="64"/>
      <c r="B788" s="64"/>
      <c r="C788" s="67"/>
      <c r="D788" s="14"/>
      <c r="E788" s="56"/>
      <c r="F788" s="52"/>
      <c r="G788" s="55"/>
    </row>
    <row r="789">
      <c r="A789" s="64"/>
      <c r="B789" s="64"/>
      <c r="C789" s="67"/>
      <c r="D789" s="14"/>
      <c r="E789" s="56"/>
      <c r="F789" s="52"/>
      <c r="G789" s="55"/>
    </row>
    <row r="790">
      <c r="A790" s="64"/>
      <c r="B790" s="64"/>
      <c r="C790" s="67"/>
      <c r="D790" s="14"/>
      <c r="E790" s="56"/>
      <c r="F790" s="52"/>
      <c r="G790" s="55"/>
    </row>
    <row r="791">
      <c r="A791" s="64"/>
      <c r="B791" s="64"/>
      <c r="C791" s="67"/>
      <c r="D791" s="14"/>
      <c r="E791" s="56"/>
      <c r="F791" s="52"/>
      <c r="G791" s="55"/>
    </row>
    <row r="792">
      <c r="A792" s="64"/>
      <c r="B792" s="64"/>
      <c r="C792" s="67"/>
      <c r="D792" s="14"/>
      <c r="E792" s="56"/>
      <c r="F792" s="52"/>
      <c r="G792" s="55"/>
    </row>
    <row r="793">
      <c r="A793" s="64"/>
      <c r="B793" s="64"/>
      <c r="C793" s="67"/>
      <c r="D793" s="14"/>
      <c r="E793" s="56"/>
      <c r="F793" s="52"/>
      <c r="G793" s="55"/>
    </row>
    <row r="794">
      <c r="A794" s="64"/>
      <c r="B794" s="64"/>
      <c r="C794" s="67"/>
      <c r="D794" s="14"/>
      <c r="E794" s="56"/>
      <c r="F794" s="52"/>
      <c r="G794" s="55"/>
    </row>
    <row r="795">
      <c r="A795" s="64"/>
      <c r="B795" s="64"/>
      <c r="C795" s="67"/>
      <c r="D795" s="14"/>
      <c r="E795" s="56"/>
      <c r="F795" s="52"/>
      <c r="G795" s="55"/>
    </row>
    <row r="796">
      <c r="A796" s="64"/>
      <c r="B796" s="64"/>
      <c r="C796" s="67"/>
      <c r="D796" s="14"/>
      <c r="E796" s="56"/>
      <c r="F796" s="52"/>
      <c r="G796" s="55"/>
    </row>
    <row r="797">
      <c r="A797" s="64"/>
      <c r="B797" s="64"/>
      <c r="C797" s="67"/>
      <c r="D797" s="14"/>
      <c r="E797" s="56"/>
      <c r="F797" s="52"/>
      <c r="G797" s="55"/>
    </row>
    <row r="798">
      <c r="A798" s="64"/>
      <c r="B798" s="64"/>
      <c r="C798" s="67"/>
      <c r="D798" s="14"/>
      <c r="E798" s="56"/>
      <c r="F798" s="52"/>
      <c r="G798" s="55"/>
    </row>
    <row r="799">
      <c r="A799" s="64"/>
      <c r="B799" s="64"/>
      <c r="C799" s="67"/>
      <c r="D799" s="14"/>
      <c r="E799" s="56"/>
      <c r="F799" s="52"/>
      <c r="G799" s="55"/>
    </row>
    <row r="800">
      <c r="A800" s="64"/>
      <c r="B800" s="64"/>
      <c r="C800" s="67"/>
      <c r="D800" s="14"/>
      <c r="E800" s="56"/>
      <c r="F800" s="52"/>
      <c r="G800" s="55"/>
    </row>
    <row r="801">
      <c r="A801" s="64"/>
      <c r="B801" s="64"/>
      <c r="C801" s="67"/>
      <c r="D801" s="14"/>
      <c r="E801" s="56"/>
      <c r="F801" s="52"/>
      <c r="G801" s="55"/>
    </row>
    <row r="802">
      <c r="A802" s="64"/>
      <c r="B802" s="64"/>
      <c r="C802" s="67"/>
      <c r="D802" s="14"/>
      <c r="E802" s="56"/>
      <c r="F802" s="52"/>
      <c r="G802" s="55"/>
    </row>
    <row r="803">
      <c r="A803" s="64"/>
      <c r="B803" s="64"/>
      <c r="C803" s="67"/>
      <c r="D803" s="14"/>
      <c r="E803" s="56"/>
      <c r="F803" s="52"/>
      <c r="G803" s="55"/>
    </row>
    <row r="804">
      <c r="A804" s="64"/>
      <c r="B804" s="64"/>
      <c r="C804" s="67"/>
      <c r="D804" s="14"/>
      <c r="E804" s="56"/>
      <c r="F804" s="52"/>
      <c r="G804" s="55"/>
    </row>
    <row r="805">
      <c r="A805" s="64"/>
      <c r="B805" s="64"/>
      <c r="C805" s="67"/>
      <c r="D805" s="14"/>
      <c r="E805" s="56"/>
      <c r="F805" s="52"/>
      <c r="G805" s="55"/>
    </row>
    <row r="806">
      <c r="A806" s="64"/>
      <c r="B806" s="64"/>
      <c r="C806" s="67"/>
      <c r="D806" s="14"/>
      <c r="E806" s="56"/>
      <c r="F806" s="52"/>
      <c r="G806" s="55"/>
    </row>
    <row r="807">
      <c r="A807" s="64"/>
      <c r="B807" s="64"/>
      <c r="C807" s="67"/>
      <c r="D807" s="14"/>
      <c r="E807" s="56"/>
      <c r="F807" s="52"/>
      <c r="G807" s="55"/>
    </row>
    <row r="808">
      <c r="A808" s="64"/>
      <c r="B808" s="64"/>
      <c r="C808" s="67"/>
      <c r="D808" s="14"/>
      <c r="E808" s="56"/>
      <c r="F808" s="52"/>
      <c r="G808" s="55"/>
    </row>
    <row r="809">
      <c r="A809" s="64"/>
      <c r="B809" s="64"/>
      <c r="C809" s="67"/>
      <c r="D809" s="14"/>
      <c r="E809" s="56"/>
      <c r="F809" s="52"/>
      <c r="G809" s="55"/>
    </row>
    <row r="810">
      <c r="A810" s="64"/>
      <c r="B810" s="64"/>
      <c r="C810" s="67"/>
      <c r="D810" s="14"/>
      <c r="E810" s="56"/>
      <c r="F810" s="52"/>
      <c r="G810" s="55"/>
    </row>
    <row r="811">
      <c r="A811" s="64"/>
      <c r="B811" s="64"/>
      <c r="C811" s="67"/>
      <c r="D811" s="14"/>
      <c r="E811" s="56"/>
      <c r="F811" s="52"/>
      <c r="G811" s="55"/>
    </row>
    <row r="812">
      <c r="A812" s="64"/>
      <c r="B812" s="64"/>
      <c r="C812" s="67"/>
      <c r="D812" s="14"/>
      <c r="E812" s="56"/>
      <c r="F812" s="52"/>
      <c r="G812" s="55"/>
    </row>
    <row r="813">
      <c r="A813" s="64"/>
      <c r="B813" s="64"/>
      <c r="C813" s="67"/>
      <c r="D813" s="14"/>
      <c r="E813" s="56"/>
      <c r="F813" s="52"/>
      <c r="G813" s="55"/>
    </row>
    <row r="814">
      <c r="A814" s="64"/>
      <c r="B814" s="64"/>
      <c r="C814" s="67"/>
      <c r="D814" s="14"/>
      <c r="E814" s="56"/>
      <c r="F814" s="52"/>
      <c r="G814" s="55"/>
    </row>
    <row r="815">
      <c r="A815" s="64"/>
      <c r="B815" s="64"/>
      <c r="C815" s="67"/>
      <c r="D815" s="14"/>
      <c r="E815" s="56"/>
      <c r="F815" s="52"/>
      <c r="G815" s="55"/>
    </row>
    <row r="816">
      <c r="A816" s="64"/>
      <c r="B816" s="64"/>
      <c r="C816" s="67"/>
      <c r="D816" s="14"/>
      <c r="E816" s="56"/>
      <c r="F816" s="52"/>
      <c r="G816" s="55"/>
    </row>
    <row r="817">
      <c r="A817" s="64"/>
      <c r="B817" s="64"/>
      <c r="C817" s="67"/>
      <c r="D817" s="14"/>
      <c r="E817" s="56"/>
      <c r="F817" s="52"/>
      <c r="G817" s="55"/>
    </row>
    <row r="818">
      <c r="A818" s="64"/>
      <c r="B818" s="64"/>
      <c r="C818" s="67"/>
      <c r="D818" s="14"/>
      <c r="E818" s="56"/>
      <c r="F818" s="52"/>
      <c r="G818" s="55"/>
    </row>
    <row r="819">
      <c r="A819" s="64"/>
      <c r="B819" s="64"/>
      <c r="C819" s="67"/>
      <c r="D819" s="14"/>
      <c r="E819" s="56"/>
      <c r="F819" s="52"/>
      <c r="G819" s="55"/>
    </row>
    <row r="820">
      <c r="A820" s="64"/>
      <c r="B820" s="64"/>
      <c r="C820" s="67"/>
      <c r="D820" s="14"/>
      <c r="E820" s="56"/>
      <c r="F820" s="52"/>
      <c r="G820" s="55"/>
    </row>
    <row r="821">
      <c r="A821" s="64"/>
      <c r="B821" s="64"/>
      <c r="C821" s="67"/>
      <c r="D821" s="14"/>
      <c r="E821" s="56"/>
      <c r="F821" s="52"/>
      <c r="G821" s="55"/>
    </row>
    <row r="822">
      <c r="A822" s="64"/>
      <c r="B822" s="64"/>
      <c r="C822" s="67"/>
      <c r="D822" s="14"/>
      <c r="E822" s="56"/>
      <c r="F822" s="52"/>
      <c r="G822" s="55"/>
    </row>
    <row r="823">
      <c r="A823" s="64"/>
      <c r="B823" s="64"/>
      <c r="C823" s="67"/>
      <c r="D823" s="14"/>
      <c r="E823" s="56"/>
      <c r="F823" s="52"/>
      <c r="G823" s="55"/>
    </row>
    <row r="824">
      <c r="A824" s="64"/>
      <c r="B824" s="64"/>
      <c r="C824" s="67"/>
      <c r="D824" s="14"/>
      <c r="E824" s="56"/>
      <c r="F824" s="52"/>
      <c r="G824" s="55"/>
    </row>
    <row r="825">
      <c r="A825" s="64"/>
      <c r="B825" s="64"/>
      <c r="C825" s="67"/>
      <c r="D825" s="14"/>
      <c r="E825" s="56"/>
      <c r="F825" s="52"/>
      <c r="G825" s="55"/>
    </row>
    <row r="826">
      <c r="A826" s="64"/>
      <c r="B826" s="64"/>
      <c r="C826" s="67"/>
      <c r="D826" s="14"/>
      <c r="E826" s="56"/>
      <c r="F826" s="52"/>
      <c r="G826" s="55"/>
    </row>
    <row r="827">
      <c r="A827" s="64"/>
      <c r="B827" s="64"/>
      <c r="C827" s="67"/>
      <c r="D827" s="14"/>
      <c r="E827" s="56"/>
      <c r="F827" s="52"/>
      <c r="G827" s="55"/>
    </row>
    <row r="828">
      <c r="A828" s="64"/>
      <c r="B828" s="64"/>
      <c r="C828" s="67"/>
      <c r="D828" s="14"/>
      <c r="E828" s="56"/>
      <c r="F828" s="52"/>
      <c r="G828" s="55"/>
    </row>
    <row r="829">
      <c r="A829" s="64"/>
      <c r="B829" s="64"/>
      <c r="C829" s="67"/>
      <c r="D829" s="14"/>
      <c r="E829" s="56"/>
      <c r="F829" s="52"/>
      <c r="G829" s="55"/>
    </row>
    <row r="830">
      <c r="A830" s="64"/>
      <c r="B830" s="64"/>
      <c r="C830" s="67"/>
      <c r="D830" s="14"/>
      <c r="E830" s="56"/>
      <c r="F830" s="52"/>
      <c r="G830" s="55"/>
    </row>
    <row r="831">
      <c r="A831" s="64"/>
      <c r="B831" s="64"/>
      <c r="C831" s="67"/>
      <c r="D831" s="14"/>
      <c r="E831" s="56"/>
      <c r="F831" s="52"/>
      <c r="G831" s="55"/>
    </row>
    <row r="832">
      <c r="A832" s="64"/>
      <c r="B832" s="64"/>
      <c r="C832" s="67"/>
      <c r="D832" s="14"/>
      <c r="E832" s="56"/>
      <c r="F832" s="52"/>
      <c r="G832" s="55"/>
    </row>
    <row r="833">
      <c r="A833" s="64"/>
      <c r="B833" s="64"/>
      <c r="C833" s="67"/>
      <c r="D833" s="14"/>
      <c r="E833" s="56"/>
      <c r="F833" s="52"/>
      <c r="G833" s="55"/>
    </row>
    <row r="834">
      <c r="A834" s="64"/>
      <c r="B834" s="64"/>
      <c r="C834" s="67"/>
      <c r="D834" s="14"/>
      <c r="E834" s="56"/>
      <c r="F834" s="52"/>
      <c r="G834" s="55"/>
    </row>
    <row r="835">
      <c r="A835" s="64"/>
      <c r="B835" s="64"/>
      <c r="C835" s="67"/>
      <c r="D835" s="14"/>
      <c r="E835" s="56"/>
      <c r="F835" s="52"/>
      <c r="G835" s="55"/>
    </row>
    <row r="836">
      <c r="A836" s="64"/>
      <c r="B836" s="64"/>
      <c r="C836" s="67"/>
      <c r="D836" s="14"/>
      <c r="E836" s="56"/>
      <c r="F836" s="52"/>
      <c r="G836" s="55"/>
    </row>
    <row r="837">
      <c r="A837" s="64"/>
      <c r="B837" s="64"/>
      <c r="C837" s="67"/>
      <c r="D837" s="14"/>
      <c r="E837" s="56"/>
      <c r="F837" s="52"/>
      <c r="G837" s="55"/>
    </row>
    <row r="838">
      <c r="A838" s="64"/>
      <c r="B838" s="64"/>
      <c r="C838" s="67"/>
      <c r="D838" s="14"/>
      <c r="E838" s="56"/>
      <c r="F838" s="52"/>
      <c r="G838" s="55"/>
    </row>
    <row r="839">
      <c r="A839" s="64"/>
      <c r="B839" s="64"/>
      <c r="C839" s="67"/>
      <c r="D839" s="14"/>
      <c r="E839" s="56"/>
      <c r="F839" s="52"/>
      <c r="G839" s="55"/>
    </row>
    <row r="840">
      <c r="A840" s="64"/>
      <c r="B840" s="64"/>
      <c r="C840" s="67"/>
      <c r="D840" s="14"/>
      <c r="E840" s="56"/>
      <c r="F840" s="52"/>
      <c r="G840" s="55"/>
    </row>
    <row r="841">
      <c r="A841" s="64"/>
      <c r="B841" s="64"/>
      <c r="C841" s="67"/>
      <c r="D841" s="14"/>
      <c r="E841" s="56"/>
      <c r="F841" s="52"/>
      <c r="G841" s="55"/>
    </row>
    <row r="842">
      <c r="A842" s="64"/>
      <c r="B842" s="64"/>
      <c r="C842" s="67"/>
      <c r="D842" s="14"/>
      <c r="E842" s="56"/>
      <c r="F842" s="52"/>
      <c r="G842" s="55"/>
    </row>
    <row r="843">
      <c r="A843" s="64"/>
      <c r="B843" s="64"/>
      <c r="C843" s="67"/>
      <c r="D843" s="14"/>
      <c r="E843" s="56"/>
      <c r="F843" s="52"/>
      <c r="G843" s="55"/>
    </row>
    <row r="844">
      <c r="A844" s="64"/>
      <c r="B844" s="64"/>
      <c r="C844" s="67"/>
      <c r="D844" s="14"/>
      <c r="E844" s="56"/>
      <c r="F844" s="52"/>
      <c r="G844" s="55"/>
    </row>
    <row r="845">
      <c r="A845" s="64"/>
      <c r="B845" s="64"/>
      <c r="C845" s="67"/>
      <c r="D845" s="14"/>
      <c r="E845" s="56"/>
      <c r="F845" s="52"/>
      <c r="G845" s="55"/>
    </row>
    <row r="846">
      <c r="A846" s="64"/>
      <c r="B846" s="64"/>
      <c r="C846" s="67"/>
      <c r="D846" s="14"/>
      <c r="E846" s="56"/>
      <c r="F846" s="52"/>
      <c r="G846" s="55"/>
    </row>
    <row r="847">
      <c r="A847" s="64"/>
      <c r="B847" s="64"/>
      <c r="C847" s="67"/>
      <c r="D847" s="14"/>
      <c r="E847" s="56"/>
      <c r="F847" s="52"/>
      <c r="G847" s="55"/>
    </row>
    <row r="848">
      <c r="A848" s="64"/>
      <c r="B848" s="64"/>
      <c r="C848" s="67"/>
      <c r="D848" s="14"/>
      <c r="E848" s="56"/>
      <c r="F848" s="52"/>
      <c r="G848" s="55"/>
    </row>
    <row r="849">
      <c r="A849" s="64"/>
      <c r="B849" s="64"/>
      <c r="C849" s="67"/>
      <c r="D849" s="14"/>
      <c r="E849" s="56"/>
      <c r="F849" s="52"/>
      <c r="G849" s="55"/>
    </row>
    <row r="850">
      <c r="A850" s="64"/>
      <c r="B850" s="64"/>
      <c r="C850" s="67"/>
      <c r="D850" s="14"/>
      <c r="E850" s="56"/>
      <c r="F850" s="52"/>
      <c r="G850" s="55"/>
    </row>
    <row r="851">
      <c r="A851" s="64"/>
      <c r="B851" s="64"/>
      <c r="C851" s="67"/>
      <c r="D851" s="14"/>
      <c r="E851" s="56"/>
      <c r="F851" s="52"/>
      <c r="G851" s="55"/>
    </row>
    <row r="852">
      <c r="A852" s="64"/>
      <c r="B852" s="64"/>
      <c r="C852" s="67"/>
      <c r="D852" s="14"/>
      <c r="E852" s="56"/>
      <c r="F852" s="52"/>
      <c r="G852" s="55"/>
    </row>
    <row r="853">
      <c r="A853" s="64"/>
      <c r="B853" s="64"/>
      <c r="C853" s="67"/>
      <c r="D853" s="14"/>
      <c r="E853" s="56"/>
      <c r="F853" s="52"/>
      <c r="G853" s="55"/>
    </row>
    <row r="854">
      <c r="A854" s="64"/>
      <c r="B854" s="64"/>
      <c r="C854" s="67"/>
      <c r="D854" s="14"/>
      <c r="E854" s="56"/>
      <c r="F854" s="52"/>
      <c r="G854" s="55"/>
    </row>
    <row r="855">
      <c r="A855" s="64"/>
      <c r="B855" s="64"/>
      <c r="C855" s="67"/>
      <c r="D855" s="14"/>
      <c r="E855" s="56"/>
      <c r="F855" s="52"/>
      <c r="G855" s="55"/>
    </row>
    <row r="856">
      <c r="A856" s="64"/>
      <c r="B856" s="64"/>
      <c r="C856" s="67"/>
      <c r="D856" s="14"/>
      <c r="E856" s="56"/>
      <c r="F856" s="52"/>
      <c r="G856" s="55"/>
    </row>
    <row r="857">
      <c r="A857" s="64"/>
      <c r="B857" s="64"/>
      <c r="C857" s="67"/>
      <c r="D857" s="14"/>
      <c r="E857" s="56"/>
      <c r="F857" s="52"/>
      <c r="G857" s="55"/>
    </row>
    <row r="858">
      <c r="A858" s="64"/>
      <c r="B858" s="64"/>
      <c r="C858" s="67"/>
      <c r="D858" s="14"/>
      <c r="E858" s="56"/>
      <c r="F858" s="52"/>
      <c r="G858" s="55"/>
    </row>
    <row r="859">
      <c r="A859" s="64"/>
      <c r="B859" s="64"/>
      <c r="C859" s="67"/>
      <c r="D859" s="14"/>
      <c r="E859" s="56"/>
      <c r="F859" s="52"/>
      <c r="G859" s="55"/>
    </row>
    <row r="860">
      <c r="A860" s="64"/>
      <c r="B860" s="64"/>
      <c r="C860" s="67"/>
      <c r="D860" s="14"/>
      <c r="E860" s="56"/>
      <c r="F860" s="52"/>
      <c r="G860" s="55"/>
    </row>
    <row r="861">
      <c r="A861" s="64"/>
      <c r="B861" s="64"/>
      <c r="C861" s="67"/>
      <c r="D861" s="14"/>
      <c r="E861" s="56"/>
      <c r="F861" s="52"/>
      <c r="G861" s="55"/>
    </row>
    <row r="862">
      <c r="A862" s="64"/>
      <c r="B862" s="64"/>
      <c r="C862" s="67"/>
      <c r="D862" s="14"/>
      <c r="E862" s="56"/>
      <c r="F862" s="52"/>
      <c r="G862" s="55"/>
    </row>
    <row r="863">
      <c r="A863" s="64"/>
      <c r="B863" s="64"/>
      <c r="C863" s="67"/>
      <c r="D863" s="14"/>
      <c r="E863" s="56"/>
      <c r="F863" s="52"/>
      <c r="G863" s="55"/>
    </row>
    <row r="864">
      <c r="A864" s="64"/>
      <c r="B864" s="64"/>
      <c r="C864" s="67"/>
      <c r="D864" s="14"/>
      <c r="E864" s="56"/>
      <c r="F864" s="52"/>
      <c r="G864" s="55"/>
    </row>
    <row r="865">
      <c r="A865" s="64"/>
      <c r="B865" s="64"/>
      <c r="C865" s="67"/>
      <c r="D865" s="14"/>
      <c r="E865" s="56"/>
      <c r="F865" s="52"/>
      <c r="G865" s="55"/>
    </row>
    <row r="866">
      <c r="A866" s="64"/>
      <c r="B866" s="64"/>
      <c r="C866" s="67"/>
      <c r="D866" s="14"/>
      <c r="E866" s="56"/>
      <c r="F866" s="52"/>
      <c r="G866" s="55"/>
    </row>
    <row r="867">
      <c r="A867" s="64"/>
      <c r="B867" s="64"/>
      <c r="C867" s="67"/>
      <c r="D867" s="14"/>
      <c r="E867" s="56"/>
      <c r="F867" s="52"/>
      <c r="G867" s="55"/>
    </row>
    <row r="868">
      <c r="A868" s="64"/>
      <c r="B868" s="64"/>
      <c r="C868" s="67"/>
      <c r="D868" s="14"/>
      <c r="E868" s="56"/>
      <c r="F868" s="52"/>
      <c r="G868" s="55"/>
    </row>
    <row r="869">
      <c r="A869" s="64"/>
      <c r="B869" s="64"/>
      <c r="C869" s="67"/>
      <c r="D869" s="14"/>
      <c r="E869" s="56"/>
      <c r="F869" s="52"/>
      <c r="G869" s="55"/>
    </row>
    <row r="870">
      <c r="A870" s="64"/>
      <c r="B870" s="64"/>
      <c r="C870" s="67"/>
      <c r="D870" s="14"/>
      <c r="E870" s="56"/>
      <c r="F870" s="52"/>
      <c r="G870" s="55"/>
    </row>
    <row r="871">
      <c r="A871" s="64"/>
      <c r="B871" s="64"/>
      <c r="C871" s="67"/>
      <c r="D871" s="14"/>
      <c r="E871" s="56"/>
      <c r="F871" s="52"/>
      <c r="G871" s="55"/>
    </row>
    <row r="872">
      <c r="A872" s="64"/>
      <c r="B872" s="64"/>
      <c r="C872" s="67"/>
      <c r="D872" s="14"/>
      <c r="E872" s="56"/>
      <c r="F872" s="52"/>
      <c r="G872" s="55"/>
    </row>
    <row r="873">
      <c r="A873" s="64"/>
      <c r="B873" s="64"/>
      <c r="C873" s="67"/>
      <c r="D873" s="14"/>
      <c r="E873" s="56"/>
      <c r="F873" s="52"/>
      <c r="G873" s="55"/>
    </row>
    <row r="874">
      <c r="A874" s="64"/>
      <c r="B874" s="64"/>
      <c r="C874" s="67"/>
      <c r="D874" s="14"/>
      <c r="E874" s="56"/>
      <c r="F874" s="52"/>
      <c r="G874" s="55"/>
    </row>
    <row r="875">
      <c r="A875" s="64"/>
      <c r="B875" s="64"/>
      <c r="C875" s="67"/>
      <c r="D875" s="14"/>
      <c r="E875" s="56"/>
      <c r="F875" s="52"/>
      <c r="G875" s="55"/>
    </row>
    <row r="876">
      <c r="A876" s="64"/>
      <c r="B876" s="64"/>
      <c r="C876" s="67"/>
      <c r="D876" s="14"/>
      <c r="E876" s="56"/>
      <c r="F876" s="52"/>
      <c r="G876" s="55"/>
    </row>
    <row r="877">
      <c r="A877" s="64"/>
      <c r="B877" s="64"/>
      <c r="C877" s="67"/>
      <c r="D877" s="14"/>
      <c r="E877" s="56"/>
      <c r="F877" s="52"/>
      <c r="G877" s="55"/>
    </row>
    <row r="878">
      <c r="A878" s="64"/>
      <c r="B878" s="64"/>
      <c r="C878" s="67"/>
      <c r="D878" s="14"/>
      <c r="E878" s="56"/>
      <c r="F878" s="52"/>
      <c r="G878" s="55"/>
    </row>
    <row r="879">
      <c r="A879" s="64"/>
      <c r="B879" s="64"/>
      <c r="C879" s="67"/>
      <c r="D879" s="14"/>
      <c r="E879" s="56"/>
      <c r="F879" s="52"/>
      <c r="G879" s="55"/>
    </row>
    <row r="880">
      <c r="A880" s="64"/>
      <c r="B880" s="64"/>
      <c r="C880" s="67"/>
      <c r="D880" s="14"/>
      <c r="E880" s="56"/>
      <c r="F880" s="52"/>
      <c r="G880" s="55"/>
    </row>
    <row r="881">
      <c r="A881" s="64"/>
      <c r="B881" s="64"/>
      <c r="C881" s="67"/>
      <c r="D881" s="14"/>
      <c r="E881" s="56"/>
      <c r="F881" s="52"/>
      <c r="G881" s="55"/>
    </row>
    <row r="882">
      <c r="A882" s="64"/>
      <c r="B882" s="64"/>
      <c r="C882" s="67"/>
      <c r="D882" s="14"/>
      <c r="E882" s="56"/>
      <c r="F882" s="52"/>
      <c r="G882" s="55"/>
    </row>
    <row r="883">
      <c r="A883" s="64"/>
      <c r="B883" s="64"/>
      <c r="C883" s="67"/>
      <c r="D883" s="14"/>
      <c r="E883" s="56"/>
      <c r="F883" s="52"/>
      <c r="G883" s="55"/>
    </row>
    <row r="884">
      <c r="A884" s="64"/>
      <c r="B884" s="64"/>
      <c r="C884" s="67"/>
      <c r="D884" s="14"/>
      <c r="E884" s="56"/>
      <c r="F884" s="52"/>
      <c r="G884" s="55"/>
    </row>
    <row r="885">
      <c r="A885" s="64"/>
      <c r="B885" s="64"/>
      <c r="C885" s="67"/>
      <c r="D885" s="14"/>
      <c r="E885" s="56"/>
      <c r="F885" s="52"/>
      <c r="G885" s="55"/>
    </row>
    <row r="886">
      <c r="A886" s="64"/>
      <c r="B886" s="64"/>
      <c r="C886" s="67"/>
      <c r="D886" s="14"/>
      <c r="E886" s="56"/>
      <c r="F886" s="52"/>
      <c r="G886" s="55"/>
    </row>
    <row r="887">
      <c r="A887" s="64"/>
      <c r="B887" s="64"/>
      <c r="C887" s="67"/>
      <c r="D887" s="14"/>
      <c r="E887" s="56"/>
      <c r="F887" s="52"/>
      <c r="G887" s="55"/>
    </row>
    <row r="888">
      <c r="A888" s="64"/>
      <c r="B888" s="64"/>
      <c r="C888" s="67"/>
      <c r="D888" s="14"/>
      <c r="E888" s="56"/>
      <c r="F888" s="52"/>
      <c r="G888" s="55"/>
    </row>
    <row r="889">
      <c r="A889" s="64"/>
      <c r="B889" s="64"/>
      <c r="C889" s="67"/>
      <c r="D889" s="14"/>
      <c r="E889" s="56"/>
      <c r="F889" s="52"/>
      <c r="G889" s="55"/>
    </row>
    <row r="890">
      <c r="A890" s="64"/>
      <c r="B890" s="64"/>
      <c r="C890" s="67"/>
      <c r="D890" s="14"/>
      <c r="E890" s="56"/>
      <c r="F890" s="52"/>
      <c r="G890" s="55"/>
    </row>
    <row r="891">
      <c r="A891" s="64"/>
      <c r="B891" s="64"/>
      <c r="C891" s="67"/>
      <c r="D891" s="14"/>
      <c r="E891" s="56"/>
      <c r="F891" s="52"/>
      <c r="G891" s="55"/>
    </row>
    <row r="892">
      <c r="A892" s="64"/>
      <c r="B892" s="64"/>
      <c r="C892" s="67"/>
      <c r="D892" s="14"/>
      <c r="E892" s="56"/>
      <c r="F892" s="52"/>
      <c r="G892" s="55"/>
    </row>
    <row r="893">
      <c r="A893" s="64"/>
      <c r="B893" s="64"/>
      <c r="C893" s="67"/>
      <c r="D893" s="14"/>
      <c r="E893" s="56"/>
      <c r="F893" s="52"/>
      <c r="G893" s="55"/>
    </row>
    <row r="894">
      <c r="A894" s="64"/>
      <c r="B894" s="64"/>
      <c r="C894" s="67"/>
      <c r="D894" s="14"/>
      <c r="E894" s="56"/>
      <c r="F894" s="52"/>
      <c r="G894" s="55"/>
    </row>
    <row r="895">
      <c r="A895" s="64"/>
      <c r="B895" s="64"/>
      <c r="C895" s="67"/>
      <c r="D895" s="14"/>
      <c r="E895" s="56"/>
      <c r="F895" s="52"/>
      <c r="G895" s="55"/>
    </row>
    <row r="896">
      <c r="A896" s="64"/>
      <c r="B896" s="64"/>
      <c r="C896" s="67"/>
      <c r="D896" s="14"/>
      <c r="E896" s="56"/>
      <c r="F896" s="52"/>
      <c r="G896" s="55"/>
    </row>
    <row r="897">
      <c r="A897" s="64"/>
      <c r="B897" s="64"/>
      <c r="C897" s="67"/>
      <c r="D897" s="14"/>
      <c r="E897" s="56"/>
      <c r="F897" s="52"/>
      <c r="G897" s="55"/>
    </row>
    <row r="898">
      <c r="A898" s="64"/>
      <c r="B898" s="64"/>
      <c r="C898" s="67"/>
      <c r="D898" s="14"/>
      <c r="E898" s="56"/>
      <c r="F898" s="52"/>
      <c r="G898" s="55"/>
    </row>
    <row r="899">
      <c r="A899" s="64"/>
      <c r="B899" s="64"/>
      <c r="C899" s="67"/>
      <c r="D899" s="14"/>
      <c r="E899" s="56"/>
      <c r="F899" s="52"/>
      <c r="G899" s="55"/>
    </row>
    <row r="900">
      <c r="A900" s="64"/>
      <c r="B900" s="64"/>
      <c r="C900" s="67"/>
      <c r="D900" s="14"/>
      <c r="E900" s="56"/>
      <c r="F900" s="52"/>
      <c r="G900" s="55"/>
    </row>
    <row r="901">
      <c r="A901" s="64"/>
      <c r="B901" s="64"/>
      <c r="C901" s="67"/>
      <c r="D901" s="14"/>
      <c r="E901" s="56"/>
      <c r="F901" s="52"/>
      <c r="G901" s="55"/>
    </row>
    <row r="902">
      <c r="A902" s="64"/>
      <c r="B902" s="64"/>
      <c r="C902" s="67"/>
      <c r="D902" s="14"/>
      <c r="E902" s="56"/>
      <c r="F902" s="52"/>
      <c r="G902" s="55"/>
    </row>
    <row r="903">
      <c r="A903" s="64"/>
      <c r="B903" s="64"/>
      <c r="C903" s="67"/>
      <c r="D903" s="14"/>
      <c r="E903" s="56"/>
      <c r="F903" s="52"/>
      <c r="G903" s="55"/>
    </row>
    <row r="904">
      <c r="A904" s="64"/>
      <c r="B904" s="64"/>
      <c r="C904" s="67"/>
      <c r="D904" s="14"/>
      <c r="E904" s="56"/>
      <c r="F904" s="52"/>
      <c r="G904" s="55"/>
    </row>
    <row r="905">
      <c r="A905" s="64"/>
      <c r="B905" s="64"/>
      <c r="C905" s="67"/>
      <c r="D905" s="14"/>
      <c r="E905" s="56"/>
      <c r="F905" s="52"/>
      <c r="G905" s="55"/>
    </row>
    <row r="906">
      <c r="A906" s="64"/>
      <c r="B906" s="64"/>
      <c r="C906" s="67"/>
      <c r="D906" s="14"/>
      <c r="E906" s="56"/>
      <c r="F906" s="52"/>
      <c r="G906" s="55"/>
    </row>
    <row r="907">
      <c r="A907" s="64"/>
      <c r="B907" s="64"/>
      <c r="C907" s="67"/>
      <c r="D907" s="14"/>
      <c r="E907" s="56"/>
      <c r="F907" s="52"/>
      <c r="G907" s="55"/>
    </row>
    <row r="908">
      <c r="A908" s="64"/>
      <c r="B908" s="64"/>
      <c r="C908" s="67"/>
      <c r="D908" s="14"/>
      <c r="E908" s="56"/>
      <c r="F908" s="52"/>
      <c r="G908" s="55"/>
    </row>
    <row r="909">
      <c r="A909" s="64"/>
      <c r="B909" s="64"/>
      <c r="C909" s="67"/>
      <c r="D909" s="14"/>
      <c r="E909" s="56"/>
      <c r="F909" s="52"/>
      <c r="G909" s="55"/>
    </row>
    <row r="910">
      <c r="A910" s="64"/>
      <c r="B910" s="64"/>
      <c r="C910" s="67"/>
      <c r="D910" s="14"/>
      <c r="E910" s="56"/>
      <c r="F910" s="52"/>
      <c r="G910" s="55"/>
    </row>
    <row r="911">
      <c r="A911" s="64"/>
      <c r="B911" s="64"/>
      <c r="C911" s="67"/>
      <c r="D911" s="14"/>
      <c r="E911" s="56"/>
      <c r="F911" s="52"/>
      <c r="G911" s="55"/>
    </row>
    <row r="912">
      <c r="A912" s="64"/>
      <c r="B912" s="64"/>
      <c r="C912" s="67"/>
      <c r="D912" s="14"/>
      <c r="E912" s="56"/>
      <c r="F912" s="52"/>
      <c r="G912" s="55"/>
    </row>
    <row r="913">
      <c r="A913" s="64"/>
      <c r="B913" s="64"/>
      <c r="C913" s="67"/>
      <c r="D913" s="14"/>
      <c r="E913" s="56"/>
      <c r="F913" s="52"/>
      <c r="G913" s="55"/>
    </row>
    <row r="914">
      <c r="A914" s="64"/>
      <c r="B914" s="64"/>
      <c r="C914" s="67"/>
      <c r="D914" s="14"/>
      <c r="E914" s="56"/>
      <c r="F914" s="52"/>
      <c r="G914" s="55"/>
    </row>
    <row r="915">
      <c r="A915" s="64"/>
      <c r="B915" s="64"/>
      <c r="C915" s="67"/>
      <c r="D915" s="14"/>
      <c r="E915" s="56"/>
      <c r="F915" s="52"/>
      <c r="G915" s="55"/>
    </row>
    <row r="916">
      <c r="A916" s="64"/>
      <c r="B916" s="64"/>
      <c r="C916" s="67"/>
      <c r="D916" s="14"/>
      <c r="E916" s="56"/>
      <c r="F916" s="52"/>
      <c r="G916" s="55"/>
    </row>
    <row r="917">
      <c r="A917" s="64"/>
      <c r="B917" s="64"/>
      <c r="C917" s="67"/>
      <c r="D917" s="14"/>
      <c r="E917" s="56"/>
      <c r="F917" s="52"/>
      <c r="G917" s="55"/>
    </row>
    <row r="918">
      <c r="A918" s="64"/>
      <c r="B918" s="64"/>
      <c r="C918" s="67"/>
      <c r="D918" s="14"/>
      <c r="E918" s="56"/>
      <c r="F918" s="52"/>
      <c r="G918" s="55"/>
    </row>
    <row r="919">
      <c r="A919" s="64"/>
      <c r="B919" s="64"/>
      <c r="C919" s="67"/>
      <c r="D919" s="14"/>
      <c r="E919" s="56"/>
      <c r="F919" s="52"/>
      <c r="G919" s="55"/>
    </row>
    <row r="920">
      <c r="A920" s="64"/>
      <c r="B920" s="64"/>
      <c r="C920" s="67"/>
      <c r="D920" s="14"/>
      <c r="E920" s="56"/>
      <c r="F920" s="52"/>
      <c r="G920" s="55"/>
    </row>
    <row r="921">
      <c r="A921" s="64"/>
      <c r="B921" s="64"/>
      <c r="C921" s="67"/>
      <c r="D921" s="14"/>
      <c r="E921" s="56"/>
      <c r="F921" s="52"/>
      <c r="G921" s="55"/>
    </row>
    <row r="922">
      <c r="A922" s="64"/>
      <c r="B922" s="64"/>
      <c r="C922" s="67"/>
      <c r="D922" s="14"/>
      <c r="E922" s="56"/>
      <c r="F922" s="52"/>
      <c r="G922" s="55"/>
    </row>
    <row r="923">
      <c r="A923" s="64"/>
      <c r="B923" s="64"/>
      <c r="C923" s="67"/>
      <c r="D923" s="14"/>
      <c r="E923" s="56"/>
      <c r="F923" s="52"/>
      <c r="G923" s="55"/>
    </row>
    <row r="924">
      <c r="A924" s="64"/>
      <c r="B924" s="64"/>
      <c r="C924" s="67"/>
      <c r="D924" s="14"/>
      <c r="E924" s="56"/>
      <c r="F924" s="52"/>
      <c r="G924" s="55"/>
    </row>
    <row r="925">
      <c r="A925" s="64"/>
      <c r="B925" s="64"/>
      <c r="C925" s="67"/>
      <c r="D925" s="14"/>
      <c r="E925" s="56"/>
      <c r="F925" s="52"/>
      <c r="G925" s="55"/>
    </row>
    <row r="926">
      <c r="A926" s="64"/>
      <c r="B926" s="64"/>
      <c r="C926" s="67"/>
      <c r="D926" s="14"/>
      <c r="E926" s="56"/>
      <c r="F926" s="52"/>
      <c r="G926" s="55"/>
    </row>
    <row r="927">
      <c r="A927" s="64"/>
      <c r="B927" s="64"/>
      <c r="C927" s="67"/>
      <c r="D927" s="14"/>
      <c r="E927" s="56"/>
      <c r="F927" s="52"/>
      <c r="G927" s="55"/>
    </row>
    <row r="928">
      <c r="A928" s="64"/>
      <c r="B928" s="64"/>
      <c r="C928" s="67"/>
      <c r="D928" s="14"/>
      <c r="E928" s="56"/>
      <c r="F928" s="52"/>
      <c r="G928" s="55"/>
    </row>
    <row r="929">
      <c r="A929" s="64"/>
      <c r="B929" s="64"/>
      <c r="C929" s="67"/>
      <c r="D929" s="14"/>
      <c r="E929" s="56"/>
      <c r="F929" s="52"/>
      <c r="G929" s="55"/>
    </row>
    <row r="930">
      <c r="A930" s="64"/>
      <c r="B930" s="64"/>
      <c r="C930" s="67"/>
      <c r="D930" s="14"/>
      <c r="E930" s="56"/>
      <c r="F930" s="52"/>
      <c r="G930" s="55"/>
    </row>
    <row r="931">
      <c r="A931" s="64"/>
      <c r="B931" s="64"/>
      <c r="C931" s="67"/>
      <c r="D931" s="14"/>
      <c r="E931" s="56"/>
      <c r="F931" s="52"/>
      <c r="G931" s="55"/>
    </row>
    <row r="932">
      <c r="A932" s="64"/>
      <c r="B932" s="64"/>
      <c r="C932" s="67"/>
      <c r="D932" s="14"/>
      <c r="E932" s="56"/>
      <c r="F932" s="52"/>
      <c r="G932" s="55"/>
    </row>
    <row r="933">
      <c r="A933" s="64"/>
      <c r="B933" s="64"/>
      <c r="C933" s="67"/>
      <c r="D933" s="14"/>
      <c r="E933" s="56"/>
      <c r="F933" s="52"/>
      <c r="G933" s="55"/>
    </row>
    <row r="934">
      <c r="A934" s="64"/>
      <c r="B934" s="64"/>
      <c r="C934" s="67"/>
      <c r="D934" s="14"/>
      <c r="E934" s="56"/>
      <c r="F934" s="52"/>
      <c r="G934" s="55"/>
    </row>
    <row r="935">
      <c r="A935" s="64"/>
      <c r="B935" s="64"/>
      <c r="C935" s="67"/>
      <c r="D935" s="14"/>
      <c r="E935" s="56"/>
      <c r="F935" s="52"/>
      <c r="G935" s="55"/>
    </row>
    <row r="936">
      <c r="A936" s="64"/>
      <c r="B936" s="64"/>
      <c r="C936" s="67"/>
      <c r="D936" s="14"/>
      <c r="E936" s="56"/>
      <c r="F936" s="52"/>
      <c r="G936" s="55"/>
    </row>
    <row r="937">
      <c r="A937" s="64"/>
      <c r="B937" s="64"/>
      <c r="C937" s="67"/>
      <c r="D937" s="14"/>
      <c r="E937" s="56"/>
      <c r="F937" s="52"/>
      <c r="G937" s="55"/>
    </row>
    <row r="938">
      <c r="A938" s="64"/>
      <c r="B938" s="64"/>
      <c r="C938" s="67"/>
      <c r="D938" s="14"/>
      <c r="E938" s="56"/>
      <c r="F938" s="52"/>
      <c r="G938" s="55"/>
    </row>
    <row r="939">
      <c r="A939" s="64"/>
      <c r="B939" s="64"/>
      <c r="C939" s="67"/>
      <c r="D939" s="14"/>
      <c r="E939" s="56"/>
      <c r="F939" s="52"/>
      <c r="G939" s="55"/>
    </row>
    <row r="940">
      <c r="A940" s="64"/>
      <c r="B940" s="64"/>
      <c r="C940" s="67"/>
      <c r="D940" s="14"/>
      <c r="E940" s="56"/>
      <c r="F940" s="52"/>
      <c r="G940" s="55"/>
    </row>
    <row r="941">
      <c r="A941" s="64"/>
      <c r="B941" s="64"/>
      <c r="C941" s="67"/>
      <c r="D941" s="14"/>
      <c r="E941" s="56"/>
      <c r="F941" s="52"/>
      <c r="G941" s="55"/>
    </row>
    <row r="942">
      <c r="A942" s="64"/>
      <c r="B942" s="64"/>
      <c r="C942" s="67"/>
      <c r="D942" s="14"/>
      <c r="E942" s="56"/>
      <c r="F942" s="52"/>
      <c r="G942" s="55"/>
    </row>
    <row r="943">
      <c r="A943" s="64"/>
      <c r="B943" s="64"/>
      <c r="C943" s="67"/>
      <c r="D943" s="14"/>
      <c r="E943" s="56"/>
      <c r="F943" s="52"/>
      <c r="G943" s="55"/>
    </row>
    <row r="944">
      <c r="A944" s="64"/>
      <c r="B944" s="64"/>
      <c r="C944" s="67"/>
      <c r="D944" s="14"/>
      <c r="E944" s="56"/>
      <c r="F944" s="52"/>
      <c r="G944" s="55"/>
    </row>
    <row r="945">
      <c r="A945" s="64"/>
      <c r="B945" s="64"/>
      <c r="C945" s="67"/>
      <c r="D945" s="14"/>
      <c r="E945" s="56"/>
      <c r="F945" s="52"/>
      <c r="G945" s="55"/>
    </row>
    <row r="946">
      <c r="A946" s="64"/>
      <c r="B946" s="64"/>
      <c r="C946" s="67"/>
      <c r="D946" s="14"/>
      <c r="E946" s="56"/>
      <c r="F946" s="52"/>
      <c r="G946" s="55"/>
    </row>
    <row r="947">
      <c r="A947" s="64"/>
      <c r="B947" s="64"/>
      <c r="C947" s="67"/>
      <c r="D947" s="14"/>
      <c r="E947" s="56"/>
      <c r="F947" s="52"/>
      <c r="G947" s="55"/>
    </row>
    <row r="948">
      <c r="A948" s="64"/>
      <c r="B948" s="64"/>
      <c r="C948" s="67"/>
      <c r="D948" s="14"/>
      <c r="E948" s="56"/>
      <c r="F948" s="52"/>
      <c r="G948" s="55"/>
    </row>
    <row r="949">
      <c r="A949" s="64"/>
      <c r="B949" s="64"/>
      <c r="C949" s="67"/>
      <c r="D949" s="14"/>
      <c r="E949" s="56"/>
      <c r="F949" s="52"/>
      <c r="G949" s="55"/>
    </row>
    <row r="950">
      <c r="A950" s="64"/>
      <c r="B950" s="64"/>
      <c r="C950" s="67"/>
      <c r="D950" s="14"/>
      <c r="E950" s="56"/>
      <c r="F950" s="52"/>
      <c r="G950" s="55"/>
    </row>
    <row r="951">
      <c r="A951" s="64"/>
      <c r="B951" s="64"/>
      <c r="C951" s="67"/>
      <c r="D951" s="14"/>
      <c r="E951" s="56"/>
      <c r="F951" s="52"/>
      <c r="G951" s="55"/>
    </row>
    <row r="952">
      <c r="A952" s="64"/>
      <c r="B952" s="64"/>
      <c r="C952" s="67"/>
      <c r="D952" s="14"/>
      <c r="E952" s="56"/>
      <c r="F952" s="52"/>
      <c r="G952" s="55"/>
    </row>
    <row r="953">
      <c r="A953" s="64"/>
      <c r="B953" s="64"/>
      <c r="C953" s="67"/>
      <c r="D953" s="14"/>
      <c r="E953" s="56"/>
      <c r="F953" s="52"/>
      <c r="G953" s="55"/>
    </row>
    <row r="954">
      <c r="A954" s="64"/>
      <c r="B954" s="64"/>
      <c r="C954" s="67"/>
      <c r="D954" s="14"/>
      <c r="E954" s="56"/>
      <c r="F954" s="52"/>
      <c r="G954" s="55"/>
    </row>
    <row r="955">
      <c r="A955" s="64"/>
      <c r="B955" s="64"/>
      <c r="C955" s="67"/>
      <c r="D955" s="14"/>
      <c r="E955" s="56"/>
      <c r="F955" s="52"/>
      <c r="G955" s="55"/>
    </row>
    <row r="956">
      <c r="A956" s="64"/>
      <c r="B956" s="64"/>
      <c r="C956" s="67"/>
      <c r="D956" s="14"/>
      <c r="E956" s="56"/>
      <c r="F956" s="52"/>
      <c r="G956" s="55"/>
    </row>
    <row r="957">
      <c r="A957" s="64"/>
      <c r="B957" s="64"/>
      <c r="C957" s="67"/>
      <c r="D957" s="14"/>
      <c r="E957" s="56"/>
      <c r="F957" s="52"/>
      <c r="G957" s="55"/>
    </row>
    <row r="958">
      <c r="A958" s="64"/>
      <c r="B958" s="64"/>
      <c r="C958" s="67"/>
      <c r="D958" s="14"/>
      <c r="E958" s="56"/>
      <c r="F958" s="52"/>
      <c r="G958" s="55"/>
    </row>
    <row r="959">
      <c r="A959" s="64"/>
      <c r="B959" s="64"/>
      <c r="C959" s="67"/>
      <c r="D959" s="14"/>
      <c r="E959" s="56"/>
      <c r="F959" s="52"/>
      <c r="G959" s="55"/>
    </row>
    <row r="960">
      <c r="A960" s="64"/>
      <c r="B960" s="64"/>
      <c r="C960" s="67"/>
      <c r="D960" s="14"/>
      <c r="E960" s="56"/>
      <c r="F960" s="52"/>
      <c r="G960" s="55"/>
    </row>
    <row r="961">
      <c r="A961" s="64"/>
      <c r="B961" s="64"/>
      <c r="C961" s="67"/>
      <c r="D961" s="14"/>
      <c r="E961" s="56"/>
      <c r="F961" s="52"/>
      <c r="G961" s="55"/>
    </row>
    <row r="962">
      <c r="A962" s="64"/>
      <c r="B962" s="64"/>
      <c r="C962" s="67"/>
      <c r="D962" s="14"/>
      <c r="E962" s="56"/>
      <c r="F962" s="52"/>
      <c r="G962" s="55"/>
    </row>
    <row r="963">
      <c r="A963" s="64"/>
      <c r="B963" s="64"/>
      <c r="C963" s="67"/>
      <c r="D963" s="14"/>
      <c r="E963" s="56"/>
      <c r="F963" s="52"/>
      <c r="G963" s="55"/>
    </row>
    <row r="964">
      <c r="A964" s="64"/>
      <c r="B964" s="64"/>
      <c r="C964" s="67"/>
      <c r="D964" s="14"/>
      <c r="E964" s="56"/>
      <c r="F964" s="52"/>
      <c r="G964" s="55"/>
    </row>
    <row r="965">
      <c r="A965" s="64"/>
      <c r="B965" s="64"/>
      <c r="C965" s="67"/>
      <c r="D965" s="14"/>
      <c r="E965" s="56"/>
      <c r="F965" s="52"/>
      <c r="G965" s="55"/>
    </row>
    <row r="966">
      <c r="A966" s="64"/>
      <c r="B966" s="64"/>
      <c r="C966" s="67"/>
      <c r="D966" s="14"/>
      <c r="E966" s="56"/>
      <c r="F966" s="52"/>
      <c r="G966" s="55"/>
    </row>
    <row r="967">
      <c r="A967" s="64"/>
      <c r="B967" s="64"/>
      <c r="C967" s="67"/>
      <c r="D967" s="14"/>
      <c r="E967" s="56"/>
      <c r="F967" s="52"/>
      <c r="G967" s="55"/>
    </row>
    <row r="968">
      <c r="A968" s="64"/>
      <c r="B968" s="64"/>
      <c r="C968" s="67"/>
      <c r="D968" s="14"/>
      <c r="E968" s="56"/>
      <c r="F968" s="52"/>
      <c r="G968" s="55"/>
    </row>
    <row r="969">
      <c r="A969" s="64"/>
      <c r="B969" s="64"/>
      <c r="C969" s="67"/>
      <c r="D969" s="14"/>
      <c r="E969" s="56"/>
      <c r="F969" s="52"/>
      <c r="G969" s="55"/>
    </row>
    <row r="970">
      <c r="A970" s="64"/>
      <c r="B970" s="64"/>
      <c r="C970" s="67"/>
      <c r="D970" s="14"/>
      <c r="E970" s="56"/>
      <c r="F970" s="52"/>
      <c r="G970" s="55"/>
    </row>
    <row r="971">
      <c r="A971" s="64"/>
      <c r="B971" s="64"/>
      <c r="C971" s="67"/>
      <c r="D971" s="14"/>
      <c r="E971" s="56"/>
      <c r="F971" s="52"/>
      <c r="G971" s="55"/>
    </row>
    <row r="972">
      <c r="A972" s="64"/>
      <c r="B972" s="64"/>
      <c r="C972" s="67"/>
      <c r="D972" s="14"/>
      <c r="E972" s="56"/>
      <c r="F972" s="52"/>
      <c r="G972" s="55"/>
    </row>
    <row r="973">
      <c r="A973" s="64"/>
      <c r="B973" s="64"/>
      <c r="C973" s="67"/>
      <c r="D973" s="14"/>
      <c r="E973" s="56"/>
      <c r="F973" s="52"/>
      <c r="G973" s="55"/>
    </row>
    <row r="974">
      <c r="A974" s="64"/>
      <c r="B974" s="64"/>
      <c r="C974" s="67"/>
      <c r="D974" s="14"/>
      <c r="E974" s="56"/>
      <c r="F974" s="52"/>
      <c r="G974" s="55"/>
    </row>
    <row r="975">
      <c r="A975" s="64"/>
      <c r="B975" s="64"/>
      <c r="C975" s="67"/>
      <c r="D975" s="14"/>
      <c r="E975" s="56"/>
      <c r="F975" s="52"/>
      <c r="G975" s="55"/>
    </row>
    <row r="976">
      <c r="A976" s="64"/>
      <c r="B976" s="64"/>
      <c r="C976" s="67"/>
      <c r="D976" s="14"/>
      <c r="E976" s="56"/>
      <c r="F976" s="52"/>
      <c r="G976" s="55"/>
    </row>
    <row r="977">
      <c r="A977" s="64"/>
      <c r="B977" s="64"/>
      <c r="C977" s="67"/>
      <c r="D977" s="14"/>
      <c r="E977" s="56"/>
      <c r="F977" s="52"/>
      <c r="G977" s="55"/>
    </row>
    <row r="978">
      <c r="A978" s="64"/>
      <c r="B978" s="64"/>
      <c r="C978" s="67"/>
      <c r="D978" s="14"/>
      <c r="E978" s="56"/>
      <c r="F978" s="52"/>
      <c r="G978" s="55"/>
    </row>
    <row r="979">
      <c r="A979" s="64"/>
      <c r="B979" s="64"/>
      <c r="C979" s="67"/>
      <c r="D979" s="14"/>
      <c r="E979" s="56"/>
      <c r="F979" s="52"/>
      <c r="G979" s="55"/>
    </row>
    <row r="980">
      <c r="A980" s="64"/>
      <c r="B980" s="64"/>
      <c r="C980" s="67"/>
      <c r="D980" s="14"/>
      <c r="E980" s="56"/>
      <c r="F980" s="52"/>
      <c r="G980" s="55"/>
    </row>
    <row r="981">
      <c r="A981" s="64"/>
      <c r="B981" s="64"/>
      <c r="C981" s="67"/>
      <c r="D981" s="14"/>
      <c r="E981" s="56"/>
      <c r="F981" s="52"/>
      <c r="G981" s="55"/>
    </row>
    <row r="982">
      <c r="A982" s="64"/>
      <c r="B982" s="64"/>
      <c r="C982" s="67"/>
      <c r="D982" s="14"/>
      <c r="E982" s="56"/>
      <c r="F982" s="52"/>
      <c r="G982" s="55"/>
    </row>
    <row r="983">
      <c r="A983" s="64"/>
      <c r="B983" s="64"/>
      <c r="C983" s="67"/>
      <c r="D983" s="14"/>
      <c r="E983" s="56"/>
      <c r="F983" s="52"/>
      <c r="G983" s="55"/>
    </row>
    <row r="984">
      <c r="A984" s="64"/>
      <c r="B984" s="64"/>
      <c r="C984" s="67"/>
      <c r="D984" s="14"/>
      <c r="E984" s="56"/>
      <c r="F984" s="52"/>
      <c r="G984" s="55"/>
    </row>
    <row r="985">
      <c r="A985" s="64"/>
      <c r="B985" s="64"/>
      <c r="C985" s="67"/>
      <c r="D985" s="14"/>
      <c r="E985" s="56"/>
      <c r="F985" s="52"/>
      <c r="G985" s="55"/>
    </row>
    <row r="986">
      <c r="A986" s="64"/>
      <c r="B986" s="64"/>
      <c r="C986" s="67"/>
      <c r="D986" s="14"/>
      <c r="E986" s="56"/>
      <c r="F986" s="52"/>
      <c r="G986" s="55"/>
    </row>
    <row r="987">
      <c r="A987" s="64"/>
      <c r="B987" s="64"/>
      <c r="C987" s="67"/>
      <c r="D987" s="14"/>
      <c r="E987" s="56"/>
      <c r="F987" s="52"/>
      <c r="G987" s="55"/>
    </row>
    <row r="988">
      <c r="A988" s="64"/>
      <c r="B988" s="64"/>
      <c r="C988" s="67"/>
      <c r="D988" s="14"/>
      <c r="E988" s="56"/>
      <c r="F988" s="52"/>
      <c r="G988" s="55"/>
    </row>
    <row r="989">
      <c r="A989" s="64"/>
      <c r="B989" s="64"/>
      <c r="C989" s="67"/>
      <c r="D989" s="14"/>
      <c r="E989" s="56"/>
      <c r="F989" s="52"/>
      <c r="G989" s="55"/>
    </row>
    <row r="990">
      <c r="A990" s="64"/>
      <c r="B990" s="64"/>
      <c r="C990" s="67"/>
      <c r="D990" s="14"/>
      <c r="E990" s="56"/>
      <c r="F990" s="52"/>
      <c r="G990" s="55"/>
    </row>
    <row r="991">
      <c r="A991" s="64"/>
      <c r="B991" s="64"/>
      <c r="C991" s="67"/>
      <c r="D991" s="14"/>
      <c r="E991" s="56"/>
      <c r="F991" s="52"/>
      <c r="G991" s="55"/>
    </row>
    <row r="992">
      <c r="A992" s="64"/>
      <c r="B992" s="64"/>
      <c r="C992" s="67"/>
      <c r="D992" s="14"/>
      <c r="E992" s="56"/>
      <c r="F992" s="52"/>
      <c r="G992" s="55"/>
    </row>
    <row r="993">
      <c r="A993" s="64"/>
      <c r="B993" s="64"/>
      <c r="C993" s="67"/>
      <c r="D993" s="14"/>
      <c r="E993" s="56"/>
      <c r="F993" s="52"/>
      <c r="G993" s="55"/>
    </row>
    <row r="994">
      <c r="A994" s="64"/>
      <c r="B994" s="64"/>
      <c r="C994" s="67"/>
      <c r="D994" s="14"/>
      <c r="E994" s="56"/>
      <c r="F994" s="52"/>
      <c r="G994" s="55"/>
    </row>
    <row r="995">
      <c r="A995" s="64"/>
      <c r="B995" s="64"/>
      <c r="C995" s="67"/>
      <c r="D995" s="14"/>
      <c r="E995" s="56"/>
      <c r="F995" s="52"/>
      <c r="G995" s="55"/>
    </row>
    <row r="996">
      <c r="A996" s="64"/>
      <c r="B996" s="64"/>
      <c r="C996" s="67"/>
      <c r="D996" s="14"/>
      <c r="E996" s="56"/>
      <c r="F996" s="52"/>
      <c r="G996" s="55"/>
    </row>
    <row r="997">
      <c r="A997" s="64"/>
      <c r="B997" s="64"/>
      <c r="C997" s="67"/>
      <c r="D997" s="14"/>
      <c r="E997" s="56"/>
      <c r="F997" s="52"/>
      <c r="G997" s="55"/>
    </row>
    <row r="998">
      <c r="A998" s="64"/>
      <c r="B998" s="64"/>
      <c r="C998" s="67"/>
      <c r="D998" s="14"/>
      <c r="E998" s="56"/>
      <c r="F998" s="52"/>
      <c r="G998" s="55"/>
    </row>
    <row r="999">
      <c r="A999" s="64"/>
      <c r="B999" s="64"/>
      <c r="C999" s="67"/>
      <c r="D999" s="14"/>
      <c r="E999" s="56"/>
      <c r="F999" s="52"/>
      <c r="G999" s="55"/>
    </row>
    <row r="1000">
      <c r="A1000" s="64"/>
      <c r="B1000" s="64"/>
      <c r="C1000" s="67"/>
      <c r="D1000" s="14"/>
      <c r="E1000" s="56"/>
      <c r="F1000" s="52"/>
      <c r="G1000" s="55"/>
    </row>
    <row r="1001">
      <c r="A1001" s="64"/>
      <c r="B1001" s="64"/>
      <c r="C1001" s="67"/>
      <c r="D1001" s="14"/>
      <c r="E1001" s="56"/>
      <c r="F1001" s="52"/>
      <c r="G1001" s="55"/>
    </row>
    <row r="1002">
      <c r="A1002" s="64"/>
      <c r="B1002" s="64"/>
      <c r="C1002" s="67"/>
      <c r="D1002" s="14"/>
      <c r="E1002" s="56"/>
      <c r="F1002" s="52"/>
      <c r="G1002" s="55"/>
    </row>
    <row r="1003">
      <c r="A1003" s="64"/>
      <c r="B1003" s="64"/>
      <c r="C1003" s="67"/>
      <c r="D1003" s="14"/>
      <c r="E1003" s="56"/>
      <c r="F1003" s="52"/>
      <c r="G1003" s="55"/>
    </row>
  </sheetData>
  <autoFilter ref="$B$3:$G$71"/>
  <mergeCells count="2">
    <mergeCell ref="B2:G2"/>
    <mergeCell ref="J2:O2"/>
  </mergeCells>
  <dataValidations>
    <dataValidation type="list" allowBlank="1" showErrorMessage="1" sqref="D4:D71">
      <formula1>"Venda,Compra,Uso"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12.63"/>
    <col customWidth="1" min="3" max="3" width="10.88"/>
    <col customWidth="1" min="4" max="4" width="11.5"/>
    <col customWidth="1" min="5" max="5" width="8.38"/>
    <col customWidth="1" min="6" max="6" width="9.38"/>
    <col customWidth="1" min="7" max="7" width="11.13"/>
    <col customWidth="1" min="8" max="9" width="10.0"/>
    <col customWidth="1" min="10" max="10" width="9.5"/>
    <col customWidth="1" min="11" max="11" width="1.5"/>
    <col customWidth="1" min="12" max="12" width="11.88"/>
    <col customWidth="1" min="13" max="13" width="10.25"/>
    <col customWidth="1" min="14" max="14" width="5.13"/>
    <col customWidth="1" min="15" max="15" width="10.13"/>
    <col customWidth="1" min="16" max="16" width="1.5"/>
    <col customWidth="1" min="17" max="17" width="14.38"/>
    <col customWidth="1" min="18" max="18" width="10.88"/>
    <col customWidth="1" min="19" max="19" width="1.38"/>
    <col customWidth="1" min="20" max="20" width="9.25"/>
    <col customWidth="1" min="21" max="21" width="9.13"/>
    <col customWidth="1" min="22" max="22" width="4.63"/>
    <col customWidth="1" min="23" max="23" width="8.38"/>
    <col customWidth="1" min="24" max="24" width="7.75"/>
    <col customWidth="1" min="25" max="25" width="2.63"/>
  </cols>
  <sheetData>
    <row r="1">
      <c r="J1" s="15"/>
      <c r="V1" s="15"/>
      <c r="W1" s="15"/>
    </row>
    <row r="2" ht="22.5" customHeight="1">
      <c r="B2" s="68" t="s">
        <v>40</v>
      </c>
      <c r="C2" s="27"/>
      <c r="J2" s="15"/>
      <c r="V2" s="15"/>
      <c r="W2" s="15"/>
    </row>
    <row r="3">
      <c r="B3" s="69" t="s">
        <v>41</v>
      </c>
      <c r="C3" s="70">
        <v>53.5</v>
      </c>
      <c r="J3" s="15"/>
      <c r="V3" s="15"/>
      <c r="W3" s="15"/>
    </row>
    <row r="4">
      <c r="B4" s="69" t="s">
        <v>42</v>
      </c>
      <c r="C4" s="71">
        <v>5000.0</v>
      </c>
      <c r="J4" s="15"/>
      <c r="V4" s="15"/>
      <c r="W4" s="15"/>
    </row>
    <row r="5">
      <c r="C5" s="1"/>
      <c r="J5" s="15"/>
      <c r="V5" s="15"/>
      <c r="W5" s="15"/>
    </row>
    <row r="6" ht="35.25" customHeight="1">
      <c r="A6" s="72"/>
      <c r="B6" s="73" t="s">
        <v>25</v>
      </c>
      <c r="C6" s="73" t="s">
        <v>43</v>
      </c>
      <c r="D6" s="73" t="s">
        <v>44</v>
      </c>
      <c r="E6" s="73" t="s">
        <v>45</v>
      </c>
      <c r="F6" s="73" t="s">
        <v>46</v>
      </c>
      <c r="G6" s="73" t="s">
        <v>47</v>
      </c>
      <c r="H6" s="73" t="s">
        <v>48</v>
      </c>
      <c r="I6" s="73" t="s">
        <v>49</v>
      </c>
      <c r="J6" s="73" t="s">
        <v>50</v>
      </c>
      <c r="L6" s="74" t="s">
        <v>51</v>
      </c>
      <c r="M6" s="26"/>
      <c r="N6" s="26"/>
      <c r="O6" s="27"/>
      <c r="Q6" s="74" t="s">
        <v>52</v>
      </c>
      <c r="R6" s="27"/>
      <c r="S6" s="72"/>
      <c r="T6" s="72"/>
    </row>
    <row r="7">
      <c r="A7" s="39"/>
      <c r="B7" s="39">
        <v>46023.0</v>
      </c>
      <c r="C7" s="75">
        <v>42109.0</v>
      </c>
      <c r="D7" s="75">
        <f> 167994 + 1548572 + 120000 + 120000 +  267951 + 820000</f>
        <v>3044517</v>
      </c>
      <c r="E7" s="75">
        <f> 550826 + 129869 + 1013243 + 404530 + 554361</f>
        <v>2652829</v>
      </c>
      <c r="F7" s="75">
        <v>0.0</v>
      </c>
      <c r="G7" s="56">
        <f t="shared" ref="G7:G37" si="1">IF(SUM(D7:F7) = 0, , (SUM(D7:F7)))</f>
        <v>5697346</v>
      </c>
      <c r="H7" s="76">
        <f t="shared" ref="H7:H37" si="2">IFERROR(G7/C7, )</f>
        <v>135.2999596</v>
      </c>
      <c r="I7" s="77">
        <f t="shared" ref="I7:I37" si="3">IFERROR(H7/25 * ($C$3/10), )</f>
        <v>28.95419136</v>
      </c>
      <c r="J7" s="41" t="str">
        <f t="shared" ref="J7:J37" si="4">IF(B7 &gt; TODAY(), "", IF(G7 = "", "Não", "Sim"))
</f>
        <v>Sim</v>
      </c>
      <c r="L7" s="78"/>
      <c r="M7" s="79" t="s">
        <v>53</v>
      </c>
      <c r="N7" s="80" t="s">
        <v>54</v>
      </c>
      <c r="O7" s="81" t="s">
        <v>55</v>
      </c>
      <c r="Q7" s="82"/>
      <c r="R7" s="69" t="s">
        <v>56</v>
      </c>
      <c r="T7" s="2"/>
      <c r="U7" s="2"/>
      <c r="V7" s="2"/>
      <c r="W7" s="2"/>
      <c r="X7" s="83"/>
      <c r="Y7" s="2"/>
    </row>
    <row r="8">
      <c r="A8" s="39"/>
      <c r="B8" s="39">
        <v>46024.0</v>
      </c>
      <c r="C8" s="75">
        <v>42112.0</v>
      </c>
      <c r="D8" s="75">
        <f> 313472 + 1375312 + 173622 + 160000 + 110000 + 18814 + 67431</f>
        <v>2218651</v>
      </c>
      <c r="E8" s="75">
        <f> 1097537 + 503876 + 610570</f>
        <v>2211983</v>
      </c>
      <c r="F8" s="75">
        <v>0.0</v>
      </c>
      <c r="G8" s="56">
        <f t="shared" si="1"/>
        <v>4430634</v>
      </c>
      <c r="H8" s="76">
        <f t="shared" si="2"/>
        <v>105.2107238</v>
      </c>
      <c r="I8" s="77">
        <f t="shared" si="3"/>
        <v>22.51509489</v>
      </c>
      <c r="J8" s="41" t="str">
        <f t="shared" si="4"/>
        <v>Sim</v>
      </c>
      <c r="L8" s="84" t="s">
        <v>0</v>
      </c>
      <c r="M8" s="85">
        <f> IFERROR(MEDIAN(C7:C1002), )</f>
        <v>40575.5</v>
      </c>
      <c r="N8" s="86"/>
      <c r="O8" s="87"/>
      <c r="P8" s="88"/>
      <c r="Q8" s="89" t="s">
        <v>57</v>
      </c>
      <c r="R8" s="17">
        <f>Count(B:B)</f>
        <v>31</v>
      </c>
      <c r="T8" s="90"/>
      <c r="U8" s="91"/>
      <c r="V8" s="2"/>
      <c r="W8" s="91"/>
      <c r="X8" s="92"/>
      <c r="Y8" s="56"/>
    </row>
    <row r="9">
      <c r="A9" s="39"/>
      <c r="B9" s="39">
        <v>46025.0</v>
      </c>
      <c r="C9" s="75">
        <v>42111.0</v>
      </c>
      <c r="D9" s="75">
        <f> 197407 + 1759037 + 163500 + 90000 + 99816 + 2093151 + 69771 + 1942337</f>
        <v>6415019</v>
      </c>
      <c r="E9" s="75">
        <f> 1191122 + 1006251</f>
        <v>2197373</v>
      </c>
      <c r="F9" s="75">
        <v>0.0</v>
      </c>
      <c r="G9" s="56">
        <f t="shared" si="1"/>
        <v>8612392</v>
      </c>
      <c r="H9" s="76">
        <f t="shared" si="2"/>
        <v>204.5164446</v>
      </c>
      <c r="I9" s="77">
        <f t="shared" si="3"/>
        <v>43.76651915</v>
      </c>
      <c r="J9" s="41" t="str">
        <f t="shared" si="4"/>
        <v>Sim</v>
      </c>
      <c r="L9" s="89" t="s">
        <v>2</v>
      </c>
      <c r="M9" s="56">
        <f t="shared" ref="M9:N9" si="5"> IFERROR(MEDIAN(G7:G1002), )</f>
        <v>8763490.5</v>
      </c>
      <c r="N9" s="56">
        <f t="shared" si="5"/>
        <v>213.4233184</v>
      </c>
      <c r="O9" s="93">
        <f> IFERROR($N$9 * ($C$3/10)  / 25, )</f>
        <v>45.67259014</v>
      </c>
      <c r="P9" s="88"/>
      <c r="Q9" s="89" t="s">
        <v>58</v>
      </c>
      <c r="R9" s="17">
        <f>COUNTIF(J:J, "=Sim")</f>
        <v>24</v>
      </c>
      <c r="T9" s="90"/>
      <c r="U9" s="91"/>
      <c r="V9" s="2"/>
      <c r="W9" s="91"/>
      <c r="X9" s="92"/>
      <c r="Y9" s="56"/>
    </row>
    <row r="10">
      <c r="A10" s="39"/>
      <c r="B10" s="39">
        <v>46026.0</v>
      </c>
      <c r="C10" s="75">
        <v>41998.0</v>
      </c>
      <c r="D10" s="75">
        <f> 1756010 + 164300 + 1486597 + 1926305</f>
        <v>5333212</v>
      </c>
      <c r="E10" s="75">
        <f> 999820 + 1043465 + 1055806</f>
        <v>3099091</v>
      </c>
      <c r="F10" s="75">
        <v>0.0</v>
      </c>
      <c r="G10" s="56">
        <f t="shared" si="1"/>
        <v>8432303</v>
      </c>
      <c r="H10" s="76">
        <f t="shared" si="2"/>
        <v>200.7786799</v>
      </c>
      <c r="I10" s="77">
        <f t="shared" si="3"/>
        <v>42.96663751</v>
      </c>
      <c r="J10" s="41" t="str">
        <f t="shared" si="4"/>
        <v>Sim</v>
      </c>
      <c r="L10" s="89" t="s">
        <v>59</v>
      </c>
      <c r="M10" s="94">
        <f>IFERROR(SUM(G7:G1002), )</f>
        <v>214209070</v>
      </c>
      <c r="N10" s="95">
        <f> IFERROR($M$10 / $M$8, )</f>
        <v>5279.271235</v>
      </c>
      <c r="O10" s="93">
        <f> IFERROR($N$10 * ($C$3/10)  / 25, )</f>
        <v>1129.764044</v>
      </c>
      <c r="P10" s="88"/>
      <c r="Q10" s="89" t="s">
        <v>60</v>
      </c>
      <c r="R10" s="96">
        <f>IFERROR(M12/M9, )</f>
        <v>-1.293042995</v>
      </c>
      <c r="T10" s="90"/>
      <c r="U10" s="91"/>
      <c r="V10" s="2"/>
      <c r="W10" s="91"/>
      <c r="X10" s="92"/>
      <c r="Y10" s="56"/>
    </row>
    <row r="11">
      <c r="A11" s="39"/>
      <c r="B11" s="97">
        <v>46027.0</v>
      </c>
      <c r="C11" s="75">
        <v>41630.0</v>
      </c>
      <c r="D11" s="75">
        <f> 2315285 + 153000 + 141642 + 2201739 + 1916046</f>
        <v>6727712</v>
      </c>
      <c r="E11" s="75">
        <f> 1598004 + 1447321</f>
        <v>3045325</v>
      </c>
      <c r="F11" s="75">
        <v>0.0</v>
      </c>
      <c r="G11" s="56">
        <f t="shared" si="1"/>
        <v>9773037</v>
      </c>
      <c r="H11" s="76">
        <f t="shared" si="2"/>
        <v>234.7594763</v>
      </c>
      <c r="I11" s="77">
        <f t="shared" si="3"/>
        <v>50.23852794</v>
      </c>
      <c r="J11" s="41" t="str">
        <f t="shared" si="4"/>
        <v>Sim</v>
      </c>
      <c r="L11" s="89" t="s">
        <v>61</v>
      </c>
      <c r="M11" s="75">
        <f> IFERROR($N$11 * $M$8, )</f>
        <v>202877500</v>
      </c>
      <c r="N11" s="98">
        <f> IFERROR($C$4, )</f>
        <v>5000</v>
      </c>
      <c r="O11" s="93">
        <f> IFERROR($N$11 * ($C$3/10)  / 25,"")</f>
        <v>1070</v>
      </c>
      <c r="Q11" s="89" t="s">
        <v>62</v>
      </c>
      <c r="R11" s="17">
        <f>COUNTIF($J:$J, "=Não")</f>
        <v>7</v>
      </c>
      <c r="T11" s="90"/>
      <c r="U11" s="91"/>
      <c r="V11" s="2"/>
      <c r="W11" s="91"/>
      <c r="X11" s="92"/>
      <c r="Y11" s="56"/>
    </row>
    <row r="12">
      <c r="A12" s="39"/>
      <c r="B12" s="39">
        <v>46028.0</v>
      </c>
      <c r="C12" s="75">
        <v>41444.0</v>
      </c>
      <c r="D12" s="75">
        <f> 1565618 + 1568560 + 290621</f>
        <v>3424799</v>
      </c>
      <c r="E12" s="56">
        <f> 1711196 + 1170458</f>
        <v>2881654</v>
      </c>
      <c r="F12" s="75">
        <v>0.0</v>
      </c>
      <c r="G12" s="56">
        <f t="shared" si="1"/>
        <v>6306453</v>
      </c>
      <c r="H12" s="76">
        <f t="shared" si="2"/>
        <v>152.1680581</v>
      </c>
      <c r="I12" s="77">
        <f t="shared" si="3"/>
        <v>32.56396443</v>
      </c>
      <c r="J12" s="41" t="str">
        <f t="shared" si="4"/>
        <v>Sim</v>
      </c>
      <c r="L12" s="89" t="s">
        <v>63</v>
      </c>
      <c r="M12" s="56">
        <f> IFERROR($M$11 - $M$10, )</f>
        <v>-11331570</v>
      </c>
      <c r="N12" s="56">
        <f>N11 - N10</f>
        <v>-279.2712351</v>
      </c>
      <c r="O12" s="93">
        <f> IFERROR($N$12 * ($C$3/10)  / 25, )</f>
        <v>-59.76404431</v>
      </c>
      <c r="Q12" s="89" t="s">
        <v>64</v>
      </c>
      <c r="R12" s="96">
        <f>R8 - R9 - R10</f>
        <v>8.293042995</v>
      </c>
      <c r="T12" s="90"/>
      <c r="U12" s="91"/>
      <c r="V12" s="2"/>
      <c r="W12" s="91"/>
      <c r="X12" s="92"/>
      <c r="Y12" s="56"/>
    </row>
    <row r="13">
      <c r="A13" s="39"/>
      <c r="B13" s="39">
        <v>46029.0</v>
      </c>
      <c r="C13" s="75">
        <v>41217.0</v>
      </c>
      <c r="D13" s="75">
        <f> 1735564 + 163500 + 2276253 + 1728506</f>
        <v>5903823</v>
      </c>
      <c r="E13" s="75">
        <f> 680335 + 1098787 + 758470 + 473174</f>
        <v>3010766</v>
      </c>
      <c r="F13" s="75">
        <v>0.0</v>
      </c>
      <c r="G13" s="56">
        <f t="shared" si="1"/>
        <v>8914589</v>
      </c>
      <c r="H13" s="76">
        <f t="shared" si="2"/>
        <v>216.2842759</v>
      </c>
      <c r="I13" s="77">
        <f t="shared" si="3"/>
        <v>46.28483504</v>
      </c>
      <c r="J13" s="41" t="str">
        <f t="shared" si="4"/>
        <v>Sim</v>
      </c>
      <c r="L13" s="99"/>
      <c r="M13" s="100"/>
      <c r="N13" s="100"/>
      <c r="O13" s="101"/>
      <c r="Q13" s="99" t="s">
        <v>7</v>
      </c>
      <c r="R13" s="23" t="str">
        <f>IF(M10 &gt;= M11, "🔵 Concluído", IF((R8-R9)-R10-R11&gt;=2, "🟢 Seguro", IF((R8-R9)-R10-R11&gt;=0, "🟡 Atenção", "🔴 Risco")))</f>
        <v>🔵 Concluído</v>
      </c>
      <c r="T13" s="90"/>
      <c r="U13" s="91"/>
      <c r="V13" s="2"/>
      <c r="W13" s="91"/>
      <c r="X13" s="92"/>
      <c r="Y13" s="56"/>
    </row>
    <row r="14">
      <c r="A14" s="39"/>
      <c r="B14" s="39">
        <v>46030.0</v>
      </c>
      <c r="C14" s="75">
        <v>41139.0</v>
      </c>
      <c r="D14" s="75">
        <f> 2575533 + 163000 + 97740 + 2201549 + 1927205</f>
        <v>6965027</v>
      </c>
      <c r="E14" s="75">
        <f> 1899421 + 1134533</f>
        <v>3033954</v>
      </c>
      <c r="F14" s="75">
        <v>0.0</v>
      </c>
      <c r="G14" s="56">
        <f t="shared" si="1"/>
        <v>9998981</v>
      </c>
      <c r="H14" s="76">
        <f t="shared" si="2"/>
        <v>243.0535745</v>
      </c>
      <c r="I14" s="77">
        <f t="shared" si="3"/>
        <v>52.01346494</v>
      </c>
      <c r="J14" s="41" t="str">
        <f t="shared" si="4"/>
        <v>Sim</v>
      </c>
      <c r="L14" s="1"/>
      <c r="M14" s="1"/>
      <c r="N14" s="1"/>
      <c r="O14" s="1"/>
      <c r="Q14" s="1"/>
      <c r="R14" s="15"/>
      <c r="V14" s="15"/>
      <c r="W14" s="15"/>
      <c r="Y14" s="56"/>
    </row>
    <row r="15">
      <c r="A15" s="39"/>
      <c r="B15" s="39">
        <v>46031.0</v>
      </c>
      <c r="C15" s="75">
        <v>40899.0</v>
      </c>
      <c r="D15" s="75">
        <f> 1434849 + 163500 + 1714377 + 2272429</f>
        <v>5585155</v>
      </c>
      <c r="E15" s="75">
        <f> 1066541 + 1663890 + 296204</f>
        <v>3026635</v>
      </c>
      <c r="F15" s="75">
        <v>0.0</v>
      </c>
      <c r="G15" s="56">
        <f t="shared" si="1"/>
        <v>8611790</v>
      </c>
      <c r="H15" s="76">
        <f t="shared" si="2"/>
        <v>210.5623609</v>
      </c>
      <c r="I15" s="77">
        <f t="shared" si="3"/>
        <v>45.06034524</v>
      </c>
      <c r="J15" s="41" t="str">
        <f t="shared" si="4"/>
        <v>Sim</v>
      </c>
      <c r="L15" s="1"/>
      <c r="V15" s="15"/>
      <c r="W15" s="15"/>
    </row>
    <row r="16">
      <c r="A16" s="39"/>
      <c r="B16" s="39">
        <v>46032.0</v>
      </c>
      <c r="C16" s="75">
        <v>40899.0</v>
      </c>
      <c r="D16" s="75">
        <f> 2309409 + 163500 + 1779944 + 1920816</f>
        <v>6173669</v>
      </c>
      <c r="E16" s="75">
        <f> 2054601 + 1020522</f>
        <v>3075123</v>
      </c>
      <c r="F16" s="75">
        <v>0.0</v>
      </c>
      <c r="G16" s="56">
        <f t="shared" si="1"/>
        <v>9248792</v>
      </c>
      <c r="H16" s="76">
        <f t="shared" si="2"/>
        <v>226.1373628</v>
      </c>
      <c r="I16" s="77">
        <f t="shared" si="3"/>
        <v>48.39339563</v>
      </c>
      <c r="J16" s="41" t="str">
        <f t="shared" si="4"/>
        <v>Sim</v>
      </c>
      <c r="N16" s="102"/>
      <c r="V16" s="15"/>
      <c r="W16" s="15"/>
    </row>
    <row r="17">
      <c r="A17" s="39"/>
      <c r="B17" s="39">
        <v>46033.0</v>
      </c>
      <c r="C17" s="75">
        <v>41142.0</v>
      </c>
      <c r="D17" s="75">
        <f> 2309841 + 153000 + 2135854 + 2546316</f>
        <v>7145011</v>
      </c>
      <c r="E17" s="75">
        <f> 1571057 + 1497217 + 1807300</f>
        <v>4875574</v>
      </c>
      <c r="F17" s="75">
        <v>0.0</v>
      </c>
      <c r="G17" s="56">
        <f t="shared" si="1"/>
        <v>12020585</v>
      </c>
      <c r="H17" s="76">
        <f t="shared" si="2"/>
        <v>292.1730835</v>
      </c>
      <c r="I17" s="77">
        <f t="shared" si="3"/>
        <v>62.52503986</v>
      </c>
      <c r="J17" s="41" t="str">
        <f t="shared" si="4"/>
        <v>Sim</v>
      </c>
      <c r="V17" s="15"/>
      <c r="W17" s="15"/>
    </row>
    <row r="18">
      <c r="A18" s="39"/>
      <c r="B18" s="103">
        <v>46034.0</v>
      </c>
      <c r="C18" s="56"/>
      <c r="D18" s="56"/>
      <c r="E18" s="56"/>
      <c r="F18" s="56"/>
      <c r="G18" s="56" t="str">
        <f t="shared" si="1"/>
        <v/>
      </c>
      <c r="H18" s="76" t="str">
        <f t="shared" si="2"/>
        <v/>
      </c>
      <c r="I18" s="77">
        <f t="shared" si="3"/>
        <v>0</v>
      </c>
      <c r="J18" s="41" t="str">
        <f t="shared" si="4"/>
        <v>Não</v>
      </c>
      <c r="V18" s="15"/>
      <c r="W18" s="15"/>
    </row>
    <row r="19">
      <c r="A19" s="39"/>
      <c r="B19" s="103">
        <v>46035.0</v>
      </c>
      <c r="C19" s="56"/>
      <c r="D19" s="56"/>
      <c r="E19" s="56"/>
      <c r="F19" s="56"/>
      <c r="G19" s="56" t="str">
        <f t="shared" si="1"/>
        <v/>
      </c>
      <c r="H19" s="76" t="str">
        <f t="shared" si="2"/>
        <v/>
      </c>
      <c r="I19" s="77">
        <f t="shared" si="3"/>
        <v>0</v>
      </c>
      <c r="J19" s="41" t="str">
        <f t="shared" si="4"/>
        <v>Não</v>
      </c>
      <c r="V19" s="15"/>
      <c r="W19" s="15"/>
    </row>
    <row r="20">
      <c r="A20" s="39"/>
      <c r="B20" s="103">
        <v>46036.0</v>
      </c>
      <c r="C20" s="56"/>
      <c r="D20" s="56"/>
      <c r="E20" s="56"/>
      <c r="F20" s="56"/>
      <c r="G20" s="56" t="str">
        <f t="shared" si="1"/>
        <v/>
      </c>
      <c r="H20" s="76" t="str">
        <f t="shared" si="2"/>
        <v/>
      </c>
      <c r="I20" s="77">
        <f t="shared" si="3"/>
        <v>0</v>
      </c>
      <c r="J20" s="41" t="str">
        <f t="shared" si="4"/>
        <v>Não</v>
      </c>
      <c r="V20" s="15"/>
      <c r="W20" s="15"/>
    </row>
    <row r="21">
      <c r="A21" s="39"/>
      <c r="B21" s="103">
        <v>46037.0</v>
      </c>
      <c r="C21" s="56"/>
      <c r="D21" s="56"/>
      <c r="E21" s="56"/>
      <c r="F21" s="56"/>
      <c r="G21" s="56" t="str">
        <f t="shared" si="1"/>
        <v/>
      </c>
      <c r="H21" s="76" t="str">
        <f t="shared" si="2"/>
        <v/>
      </c>
      <c r="I21" s="77">
        <f t="shared" si="3"/>
        <v>0</v>
      </c>
      <c r="J21" s="41" t="str">
        <f t="shared" si="4"/>
        <v>Não</v>
      </c>
      <c r="V21" s="15"/>
      <c r="W21" s="15"/>
    </row>
    <row r="22">
      <c r="A22" s="39"/>
      <c r="B22" s="103">
        <v>46038.0</v>
      </c>
      <c r="C22" s="56"/>
      <c r="D22" s="56"/>
      <c r="E22" s="56"/>
      <c r="F22" s="56"/>
      <c r="G22" s="56" t="str">
        <f t="shared" si="1"/>
        <v/>
      </c>
      <c r="H22" s="76" t="str">
        <f t="shared" si="2"/>
        <v/>
      </c>
      <c r="I22" s="77">
        <f t="shared" si="3"/>
        <v>0</v>
      </c>
      <c r="J22" s="41" t="str">
        <f t="shared" si="4"/>
        <v>Não</v>
      </c>
      <c r="V22" s="15"/>
      <c r="W22" s="15"/>
    </row>
    <row r="23">
      <c r="A23" s="39"/>
      <c r="B23" s="103">
        <v>46039.0</v>
      </c>
      <c r="C23" s="56"/>
      <c r="D23" s="56"/>
      <c r="E23" s="56"/>
      <c r="F23" s="56"/>
      <c r="G23" s="56" t="str">
        <f t="shared" si="1"/>
        <v/>
      </c>
      <c r="H23" s="76" t="str">
        <f t="shared" si="2"/>
        <v/>
      </c>
      <c r="I23" s="77">
        <f t="shared" si="3"/>
        <v>0</v>
      </c>
      <c r="J23" s="41" t="str">
        <f t="shared" si="4"/>
        <v>Não</v>
      </c>
      <c r="V23" s="15"/>
      <c r="W23" s="15"/>
    </row>
    <row r="24">
      <c r="A24" s="39"/>
      <c r="B24" s="103">
        <v>46040.0</v>
      </c>
      <c r="C24" s="56"/>
      <c r="D24" s="56"/>
      <c r="E24" s="56"/>
      <c r="F24" s="56"/>
      <c r="G24" s="56" t="str">
        <f t="shared" si="1"/>
        <v/>
      </c>
      <c r="H24" s="76" t="str">
        <f t="shared" si="2"/>
        <v/>
      </c>
      <c r="I24" s="77">
        <f t="shared" si="3"/>
        <v>0</v>
      </c>
      <c r="J24" s="41" t="str">
        <f t="shared" si="4"/>
        <v>Não</v>
      </c>
      <c r="N24" s="1"/>
      <c r="V24" s="15"/>
      <c r="W24" s="15"/>
    </row>
    <row r="25">
      <c r="A25" s="39"/>
      <c r="B25" s="39">
        <v>46041.0</v>
      </c>
      <c r="C25" s="75">
        <v>40175.0</v>
      </c>
      <c r="D25" s="56">
        <f> 120000 + 2484713 + 99000 + 2140344 + 210941</f>
        <v>5054998</v>
      </c>
      <c r="E25" s="75">
        <v>0.0</v>
      </c>
      <c r="F25" s="75">
        <v>0.0</v>
      </c>
      <c r="G25" s="56">
        <f t="shared" si="1"/>
        <v>5054998</v>
      </c>
      <c r="H25" s="76">
        <f t="shared" si="2"/>
        <v>125.824468</v>
      </c>
      <c r="I25" s="77">
        <f t="shared" si="3"/>
        <v>26.92643614</v>
      </c>
      <c r="J25" s="41" t="str">
        <f t="shared" si="4"/>
        <v>Sim</v>
      </c>
      <c r="V25" s="15"/>
      <c r="W25" s="15"/>
    </row>
    <row r="26">
      <c r="A26" s="39"/>
      <c r="B26" s="39">
        <v>46042.0</v>
      </c>
      <c r="C26" s="75">
        <v>39980.0</v>
      </c>
      <c r="D26" s="56">
        <f> 2281649 + 2561986 + 1397116</f>
        <v>6240751</v>
      </c>
      <c r="E26" s="56">
        <f> 1311458 + 1714693</f>
        <v>3026151</v>
      </c>
      <c r="F26" s="75">
        <v>0.0</v>
      </c>
      <c r="G26" s="56">
        <f t="shared" si="1"/>
        <v>9266902</v>
      </c>
      <c r="H26" s="76">
        <f t="shared" si="2"/>
        <v>231.7884442</v>
      </c>
      <c r="I26" s="77">
        <f t="shared" si="3"/>
        <v>49.60272706</v>
      </c>
      <c r="J26" s="41" t="str">
        <f t="shared" si="4"/>
        <v>Sim</v>
      </c>
      <c r="V26" s="15"/>
      <c r="W26" s="15"/>
    </row>
    <row r="27">
      <c r="A27" s="39"/>
      <c r="B27" s="39">
        <v>46043.0</v>
      </c>
      <c r="C27" s="75">
        <v>40746.0</v>
      </c>
      <c r="D27" s="75">
        <f> 1893737 + 2375352 - 139158 + 1872003</f>
        <v>6001934</v>
      </c>
      <c r="E27" s="75">
        <f> 1757438 + 1391518 + 299214 + 361708</f>
        <v>3809878</v>
      </c>
      <c r="F27" s="75">
        <v>0.0</v>
      </c>
      <c r="G27" s="56">
        <f t="shared" si="1"/>
        <v>9811812</v>
      </c>
      <c r="H27" s="76">
        <f t="shared" si="2"/>
        <v>240.8042998</v>
      </c>
      <c r="I27" s="77">
        <f t="shared" si="3"/>
        <v>51.53212016</v>
      </c>
      <c r="J27" s="41" t="str">
        <f t="shared" si="4"/>
        <v>Sim</v>
      </c>
      <c r="V27" s="15"/>
      <c r="W27" s="15"/>
    </row>
    <row r="28">
      <c r="A28" s="39"/>
      <c r="B28" s="39">
        <v>46044.0</v>
      </c>
      <c r="C28" s="75">
        <v>39880.0</v>
      </c>
      <c r="D28" s="56">
        <f> 2520699 + 1775867 + 1791258 + 1100000</f>
        <v>7187824</v>
      </c>
      <c r="E28" s="56">
        <f> 2701580 + 1226080</f>
        <v>3927660</v>
      </c>
      <c r="F28" s="75">
        <v>0.0</v>
      </c>
      <c r="G28" s="56">
        <f t="shared" si="1"/>
        <v>11115484</v>
      </c>
      <c r="H28" s="104">
        <f t="shared" si="2"/>
        <v>278.7232698</v>
      </c>
      <c r="I28" s="77">
        <f t="shared" si="3"/>
        <v>59.64677974</v>
      </c>
      <c r="J28" s="41" t="str">
        <f t="shared" si="4"/>
        <v>Sim</v>
      </c>
      <c r="N28" s="1"/>
      <c r="V28" s="15"/>
      <c r="W28" s="15"/>
    </row>
    <row r="29">
      <c r="A29" s="39"/>
      <c r="B29" s="39">
        <v>46045.0</v>
      </c>
      <c r="C29" s="75">
        <v>39794.0</v>
      </c>
      <c r="D29" s="56">
        <f> 2644077 + 1534120 + 120000 + 1613835 + 1855796</f>
        <v>7767828</v>
      </c>
      <c r="E29" s="56">
        <f> 1761539 + 1280279</f>
        <v>3041818</v>
      </c>
      <c r="F29" s="75">
        <v>0.0</v>
      </c>
      <c r="G29" s="56">
        <f t="shared" si="1"/>
        <v>10809646</v>
      </c>
      <c r="H29" s="104">
        <f t="shared" si="2"/>
        <v>271.6400965</v>
      </c>
      <c r="I29" s="77">
        <f t="shared" si="3"/>
        <v>58.13098065</v>
      </c>
      <c r="J29" s="41" t="str">
        <f t="shared" si="4"/>
        <v>Sim</v>
      </c>
      <c r="V29" s="15"/>
      <c r="W29" s="15"/>
    </row>
    <row r="30">
      <c r="A30" s="39"/>
      <c r="B30" s="39">
        <v>46046.0</v>
      </c>
      <c r="C30" s="75">
        <v>38790.0</v>
      </c>
      <c r="D30" s="75">
        <f> 1834596 + 2469163</f>
        <v>4303759</v>
      </c>
      <c r="E30" s="56">
        <f> 950435 + 1644889 + 413743</f>
        <v>3009067</v>
      </c>
      <c r="F30" s="75">
        <v>0.0</v>
      </c>
      <c r="G30" s="56">
        <f t="shared" si="1"/>
        <v>7312826</v>
      </c>
      <c r="H30" s="104">
        <f t="shared" si="2"/>
        <v>188.5234854</v>
      </c>
      <c r="I30" s="77">
        <f t="shared" si="3"/>
        <v>40.34402588</v>
      </c>
      <c r="J30" s="41" t="str">
        <f t="shared" si="4"/>
        <v>Sim</v>
      </c>
      <c r="V30" s="15"/>
      <c r="W30" s="15"/>
    </row>
    <row r="31">
      <c r="A31" s="39"/>
      <c r="B31" s="39">
        <v>46047.0</v>
      </c>
      <c r="C31" s="75">
        <v>40341.0</v>
      </c>
      <c r="D31" s="56">
        <f> 1676549 + 2071499 + 1842584 + 1302567 + 418499</f>
        <v>7311698</v>
      </c>
      <c r="E31" s="56">
        <f> 1008485 + 791398 + 1250139 + 267006 + 128013</f>
        <v>3445041</v>
      </c>
      <c r="F31" s="75">
        <v>0.0</v>
      </c>
      <c r="G31" s="56">
        <f t="shared" si="1"/>
        <v>10756739</v>
      </c>
      <c r="H31" s="104">
        <f t="shared" si="2"/>
        <v>266.6453236</v>
      </c>
      <c r="I31" s="77">
        <f t="shared" si="3"/>
        <v>57.06209925</v>
      </c>
      <c r="J31" s="41" t="str">
        <f t="shared" si="4"/>
        <v>Sim</v>
      </c>
      <c r="V31" s="15"/>
      <c r="W31" s="15"/>
    </row>
    <row r="32">
      <c r="A32" s="39"/>
      <c r="B32" s="97">
        <v>46048.0</v>
      </c>
      <c r="C32" s="75">
        <v>39400.0</v>
      </c>
      <c r="D32" s="56">
        <f> 2253300 + 2175651 + 722611 + 2120896</f>
        <v>7272458</v>
      </c>
      <c r="E32" s="56">
        <f> 1525000 + 1475962</f>
        <v>3000962</v>
      </c>
      <c r="F32" s="75">
        <v>0.0</v>
      </c>
      <c r="G32" s="56">
        <f t="shared" si="1"/>
        <v>10273420</v>
      </c>
      <c r="H32" s="104">
        <f t="shared" si="2"/>
        <v>260.7467005</v>
      </c>
      <c r="I32" s="77">
        <f t="shared" si="3"/>
        <v>55.79979391</v>
      </c>
      <c r="J32" s="41" t="str">
        <f t="shared" si="4"/>
        <v>Sim</v>
      </c>
      <c r="V32" s="15"/>
      <c r="W32" s="15"/>
    </row>
    <row r="33">
      <c r="A33" s="39"/>
      <c r="B33" s="39">
        <v>46049.0</v>
      </c>
      <c r="C33" s="75">
        <v>39199.0</v>
      </c>
      <c r="D33" s="75">
        <f> 1741188 + 1986816 + 1777323</f>
        <v>5505327</v>
      </c>
      <c r="E33" s="56">
        <f> 1256435 + 551514 + 202339</f>
        <v>2010288</v>
      </c>
      <c r="F33" s="75">
        <v>0.0</v>
      </c>
      <c r="G33" s="56">
        <f t="shared" si="1"/>
        <v>7515615</v>
      </c>
      <c r="H33" s="104">
        <f t="shared" si="2"/>
        <v>191.7297635</v>
      </c>
      <c r="I33" s="77">
        <f t="shared" si="3"/>
        <v>41.03016939</v>
      </c>
      <c r="J33" s="41" t="str">
        <f t="shared" si="4"/>
        <v>Sim</v>
      </c>
      <c r="V33" s="15"/>
      <c r="W33" s="15"/>
    </row>
    <row r="34">
      <c r="A34" s="39"/>
      <c r="B34" s="39">
        <v>46050.0</v>
      </c>
      <c r="C34" s="75">
        <v>39988.0</v>
      </c>
      <c r="D34" s="75">
        <f> 2429564 + 2122643 + 2504837</f>
        <v>7057044</v>
      </c>
      <c r="E34" s="75">
        <f> 831674 + 422586 + 866053</f>
        <v>2120313</v>
      </c>
      <c r="F34" s="75">
        <f>2500000 + 12000000</f>
        <v>14500000</v>
      </c>
      <c r="G34" s="56">
        <f t="shared" si="1"/>
        <v>23677357</v>
      </c>
      <c r="H34" s="104">
        <f t="shared" si="2"/>
        <v>592.1115585</v>
      </c>
      <c r="I34" s="77">
        <f t="shared" si="3"/>
        <v>126.7118735</v>
      </c>
      <c r="J34" s="41" t="str">
        <f t="shared" si="4"/>
        <v>Sim</v>
      </c>
      <c r="V34" s="15"/>
      <c r="W34" s="15"/>
    </row>
    <row r="35">
      <c r="A35" s="39"/>
      <c r="B35" s="39">
        <v>46051.0</v>
      </c>
      <c r="C35" s="75">
        <v>39466.0</v>
      </c>
      <c r="D35" s="75">
        <f> 2383164 + 1743470</f>
        <v>4126634</v>
      </c>
      <c r="E35" s="75">
        <f> 670316 + 1020070 + 747444</f>
        <v>2437830</v>
      </c>
      <c r="F35" s="75">
        <v>0.0</v>
      </c>
      <c r="G35" s="56">
        <f t="shared" si="1"/>
        <v>6564464</v>
      </c>
      <c r="H35" s="104">
        <f t="shared" si="2"/>
        <v>166.332134</v>
      </c>
      <c r="I35" s="77">
        <f t="shared" si="3"/>
        <v>35.59507667</v>
      </c>
      <c r="J35" s="41" t="str">
        <f t="shared" si="4"/>
        <v>Sim</v>
      </c>
      <c r="V35" s="15"/>
      <c r="W35" s="15"/>
    </row>
    <row r="36">
      <c r="A36" s="39"/>
      <c r="B36" s="39">
        <v>46052.0</v>
      </c>
      <c r="C36" s="75">
        <v>40405.0</v>
      </c>
      <c r="D36" s="75">
        <f> 1500424 + 2086308 + 350000 + 2014381</f>
        <v>5951113</v>
      </c>
      <c r="E36" s="75">
        <f> 222731 + 1476958 </f>
        <v>1699689</v>
      </c>
      <c r="F36" s="75">
        <v>0.0</v>
      </c>
      <c r="G36" s="56">
        <f t="shared" si="1"/>
        <v>7650802</v>
      </c>
      <c r="H36" s="104">
        <f t="shared" si="2"/>
        <v>189.3528524</v>
      </c>
      <c r="I36" s="77">
        <f t="shared" si="3"/>
        <v>40.52151041</v>
      </c>
      <c r="J36" s="41" t="str">
        <f t="shared" si="4"/>
        <v>Sim</v>
      </c>
      <c r="V36" s="15"/>
      <c r="W36" s="15"/>
    </row>
    <row r="37">
      <c r="A37" s="39"/>
      <c r="B37" s="39">
        <v>46053.0</v>
      </c>
      <c r="C37" s="75">
        <v>39792.0</v>
      </c>
      <c r="D37" s="75">
        <f> 165238 + 105566 + 31083</f>
        <v>301887</v>
      </c>
      <c r="E37" s="75">
        <f> 852127 + 1198089</f>
        <v>2050216</v>
      </c>
      <c r="F37" s="75">
        <v>0.0</v>
      </c>
      <c r="G37" s="56">
        <f t="shared" si="1"/>
        <v>2352103</v>
      </c>
      <c r="H37" s="104">
        <f t="shared" si="2"/>
        <v>59.10994672</v>
      </c>
      <c r="I37" s="77">
        <f t="shared" si="3"/>
        <v>12.6495286</v>
      </c>
      <c r="J37" s="41" t="str">
        <f t="shared" si="4"/>
        <v>Sim</v>
      </c>
      <c r="V37" s="15"/>
      <c r="W37" s="15"/>
    </row>
    <row r="38">
      <c r="J38" s="15"/>
      <c r="V38" s="15"/>
      <c r="W38" s="15"/>
    </row>
    <row r="39">
      <c r="J39" s="15"/>
      <c r="V39" s="15"/>
      <c r="W39" s="15"/>
    </row>
    <row r="40">
      <c r="J40" s="15"/>
      <c r="V40" s="15"/>
      <c r="W40" s="15"/>
    </row>
    <row r="41">
      <c r="J41" s="15"/>
      <c r="V41" s="15"/>
      <c r="W41" s="15"/>
    </row>
    <row r="42">
      <c r="J42" s="15"/>
      <c r="V42" s="15"/>
      <c r="W42" s="15"/>
    </row>
    <row r="43">
      <c r="J43" s="15"/>
      <c r="V43" s="15"/>
      <c r="W43" s="15"/>
    </row>
    <row r="44">
      <c r="J44" s="15"/>
      <c r="V44" s="15"/>
      <c r="W44" s="15"/>
    </row>
    <row r="45">
      <c r="J45" s="15"/>
      <c r="V45" s="15"/>
      <c r="W45" s="15"/>
    </row>
    <row r="46">
      <c r="J46" s="15"/>
      <c r="V46" s="15"/>
      <c r="W46" s="15"/>
    </row>
    <row r="47">
      <c r="J47" s="15"/>
      <c r="V47" s="15"/>
      <c r="W47" s="15"/>
    </row>
    <row r="48">
      <c r="J48" s="15"/>
      <c r="V48" s="15"/>
      <c r="W48" s="15"/>
    </row>
    <row r="49">
      <c r="J49" s="15"/>
      <c r="V49" s="15"/>
      <c r="W49" s="15"/>
    </row>
    <row r="50">
      <c r="J50" s="15"/>
      <c r="V50" s="15"/>
      <c r="W50" s="15"/>
    </row>
    <row r="51">
      <c r="J51" s="15"/>
      <c r="V51" s="15"/>
      <c r="W51" s="15"/>
    </row>
    <row r="52">
      <c r="J52" s="15"/>
      <c r="V52" s="15"/>
      <c r="W52" s="15"/>
    </row>
    <row r="53">
      <c r="J53" s="15"/>
      <c r="V53" s="15"/>
      <c r="W53" s="15"/>
    </row>
    <row r="54">
      <c r="J54" s="15"/>
      <c r="V54" s="15"/>
      <c r="W54" s="15"/>
    </row>
    <row r="55">
      <c r="J55" s="15"/>
      <c r="V55" s="15"/>
      <c r="W55" s="15"/>
    </row>
    <row r="56">
      <c r="J56" s="15"/>
      <c r="V56" s="15"/>
      <c r="W56" s="15"/>
    </row>
    <row r="57">
      <c r="J57" s="15"/>
      <c r="V57" s="15"/>
      <c r="W57" s="15"/>
    </row>
    <row r="58">
      <c r="J58" s="15"/>
      <c r="V58" s="15"/>
      <c r="W58" s="15"/>
    </row>
    <row r="59">
      <c r="J59" s="15"/>
      <c r="V59" s="15"/>
      <c r="W59" s="15"/>
    </row>
    <row r="60">
      <c r="J60" s="15"/>
      <c r="V60" s="15"/>
      <c r="W60" s="15"/>
    </row>
    <row r="61">
      <c r="J61" s="15"/>
      <c r="V61" s="15"/>
      <c r="W61" s="15"/>
    </row>
    <row r="62">
      <c r="J62" s="15"/>
      <c r="V62" s="15"/>
      <c r="W62" s="15"/>
    </row>
    <row r="63">
      <c r="J63" s="15"/>
      <c r="V63" s="15"/>
      <c r="W63" s="15"/>
    </row>
    <row r="64">
      <c r="J64" s="15"/>
      <c r="V64" s="15"/>
      <c r="W64" s="15"/>
    </row>
    <row r="65">
      <c r="J65" s="15"/>
      <c r="V65" s="15"/>
      <c r="W65" s="15"/>
    </row>
    <row r="66">
      <c r="J66" s="15"/>
      <c r="V66" s="15"/>
      <c r="W66" s="15"/>
    </row>
    <row r="67">
      <c r="J67" s="15"/>
      <c r="V67" s="15"/>
      <c r="W67" s="15"/>
    </row>
    <row r="68">
      <c r="J68" s="15"/>
      <c r="V68" s="15"/>
      <c r="W68" s="15"/>
    </row>
    <row r="69">
      <c r="J69" s="15"/>
      <c r="V69" s="15"/>
      <c r="W69" s="15"/>
    </row>
    <row r="70">
      <c r="J70" s="15"/>
      <c r="V70" s="15"/>
      <c r="W70" s="15"/>
    </row>
    <row r="71">
      <c r="J71" s="15"/>
      <c r="V71" s="15"/>
      <c r="W71" s="15"/>
    </row>
    <row r="72">
      <c r="J72" s="15"/>
      <c r="V72" s="15"/>
      <c r="W72" s="15"/>
    </row>
    <row r="73">
      <c r="J73" s="15"/>
      <c r="V73" s="15"/>
      <c r="W73" s="15"/>
    </row>
    <row r="74">
      <c r="J74" s="15"/>
      <c r="V74" s="15"/>
      <c r="W74" s="15"/>
    </row>
    <row r="75">
      <c r="J75" s="15"/>
      <c r="V75" s="15"/>
      <c r="W75" s="15"/>
    </row>
    <row r="76">
      <c r="J76" s="15"/>
      <c r="V76" s="15"/>
      <c r="W76" s="15"/>
    </row>
    <row r="77">
      <c r="J77" s="15"/>
      <c r="V77" s="15"/>
      <c r="W77" s="15"/>
    </row>
    <row r="78">
      <c r="J78" s="15"/>
      <c r="V78" s="15"/>
      <c r="W78" s="15"/>
    </row>
    <row r="79">
      <c r="J79" s="15"/>
      <c r="V79" s="15"/>
      <c r="W79" s="15"/>
    </row>
    <row r="80">
      <c r="J80" s="15"/>
      <c r="V80" s="15"/>
      <c r="W80" s="15"/>
    </row>
    <row r="81">
      <c r="J81" s="15"/>
      <c r="V81" s="15"/>
      <c r="W81" s="15"/>
    </row>
    <row r="82">
      <c r="J82" s="15"/>
      <c r="V82" s="15"/>
      <c r="W82" s="15"/>
    </row>
    <row r="83">
      <c r="J83" s="15"/>
      <c r="V83" s="15"/>
      <c r="W83" s="15"/>
    </row>
    <row r="84">
      <c r="J84" s="15"/>
      <c r="V84" s="15"/>
      <c r="W84" s="15"/>
    </row>
    <row r="85">
      <c r="J85" s="15"/>
      <c r="V85" s="15"/>
      <c r="W85" s="15"/>
    </row>
    <row r="86">
      <c r="J86" s="15"/>
      <c r="V86" s="15"/>
      <c r="W86" s="15"/>
    </row>
    <row r="87">
      <c r="J87" s="15"/>
      <c r="V87" s="15"/>
      <c r="W87" s="15"/>
    </row>
    <row r="88">
      <c r="J88" s="15"/>
      <c r="V88" s="15"/>
      <c r="W88" s="15"/>
    </row>
    <row r="89">
      <c r="J89" s="15"/>
      <c r="V89" s="15"/>
      <c r="W89" s="15"/>
    </row>
    <row r="90">
      <c r="J90" s="15"/>
      <c r="V90" s="15"/>
      <c r="W90" s="15"/>
    </row>
    <row r="91">
      <c r="J91" s="15"/>
      <c r="V91" s="15"/>
      <c r="W91" s="15"/>
    </row>
    <row r="92">
      <c r="J92" s="15"/>
      <c r="V92" s="15"/>
      <c r="W92" s="15"/>
    </row>
    <row r="93">
      <c r="J93" s="15"/>
      <c r="V93" s="15"/>
      <c r="W93" s="15"/>
    </row>
    <row r="94">
      <c r="J94" s="15"/>
      <c r="V94" s="15"/>
      <c r="W94" s="15"/>
    </row>
    <row r="95">
      <c r="J95" s="15"/>
      <c r="V95" s="15"/>
      <c r="W95" s="15"/>
    </row>
    <row r="96">
      <c r="J96" s="15"/>
      <c r="V96" s="15"/>
      <c r="W96" s="15"/>
    </row>
    <row r="97">
      <c r="J97" s="15"/>
      <c r="V97" s="15"/>
      <c r="W97" s="15"/>
    </row>
    <row r="98">
      <c r="J98" s="15"/>
      <c r="V98" s="15"/>
      <c r="W98" s="15"/>
    </row>
    <row r="99">
      <c r="J99" s="15"/>
      <c r="V99" s="15"/>
      <c r="W99" s="15"/>
    </row>
    <row r="100">
      <c r="J100" s="15"/>
      <c r="V100" s="15"/>
      <c r="W100" s="15"/>
    </row>
    <row r="101">
      <c r="J101" s="15"/>
      <c r="V101" s="15"/>
      <c r="W101" s="15"/>
    </row>
    <row r="102">
      <c r="J102" s="15"/>
      <c r="V102" s="15"/>
      <c r="W102" s="15"/>
    </row>
    <row r="103">
      <c r="J103" s="15"/>
      <c r="V103" s="15"/>
      <c r="W103" s="15"/>
    </row>
    <row r="104">
      <c r="J104" s="15"/>
      <c r="V104" s="15"/>
      <c r="W104" s="15"/>
    </row>
    <row r="105">
      <c r="J105" s="15"/>
      <c r="V105" s="15"/>
      <c r="W105" s="15"/>
    </row>
    <row r="106">
      <c r="J106" s="15"/>
      <c r="V106" s="15"/>
      <c r="W106" s="15"/>
    </row>
    <row r="107">
      <c r="J107" s="15"/>
      <c r="V107" s="15"/>
      <c r="W107" s="15"/>
    </row>
    <row r="108">
      <c r="J108" s="15"/>
      <c r="V108" s="15"/>
      <c r="W108" s="15"/>
    </row>
    <row r="109">
      <c r="J109" s="15"/>
      <c r="V109" s="15"/>
      <c r="W109" s="15"/>
    </row>
    <row r="110">
      <c r="J110" s="15"/>
      <c r="V110" s="15"/>
      <c r="W110" s="15"/>
    </row>
    <row r="111">
      <c r="J111" s="15"/>
      <c r="V111" s="15"/>
      <c r="W111" s="15"/>
    </row>
    <row r="112">
      <c r="J112" s="15"/>
      <c r="V112" s="15"/>
      <c r="W112" s="15"/>
    </row>
    <row r="113">
      <c r="J113" s="15"/>
      <c r="V113" s="15"/>
      <c r="W113" s="15"/>
    </row>
    <row r="114">
      <c r="J114" s="15"/>
      <c r="V114" s="15"/>
      <c r="W114" s="15"/>
    </row>
    <row r="115">
      <c r="J115" s="15"/>
      <c r="V115" s="15"/>
      <c r="W115" s="15"/>
    </row>
    <row r="116">
      <c r="J116" s="15"/>
      <c r="V116" s="15"/>
      <c r="W116" s="15"/>
    </row>
    <row r="117">
      <c r="J117" s="15"/>
      <c r="V117" s="15"/>
      <c r="W117" s="15"/>
    </row>
    <row r="118">
      <c r="J118" s="15"/>
      <c r="V118" s="15"/>
      <c r="W118" s="15"/>
    </row>
    <row r="119">
      <c r="J119" s="15"/>
      <c r="V119" s="15"/>
      <c r="W119" s="15"/>
    </row>
    <row r="120">
      <c r="J120" s="15"/>
      <c r="V120" s="15"/>
      <c r="W120" s="15"/>
    </row>
    <row r="121">
      <c r="J121" s="15"/>
      <c r="V121" s="15"/>
      <c r="W121" s="15"/>
    </row>
    <row r="122">
      <c r="J122" s="15"/>
      <c r="V122" s="15"/>
      <c r="W122" s="15"/>
    </row>
    <row r="123">
      <c r="J123" s="15"/>
      <c r="V123" s="15"/>
      <c r="W123" s="15"/>
    </row>
    <row r="124">
      <c r="J124" s="15"/>
      <c r="V124" s="15"/>
      <c r="W124" s="15"/>
    </row>
    <row r="125">
      <c r="J125" s="15"/>
      <c r="V125" s="15"/>
      <c r="W125" s="15"/>
    </row>
    <row r="126">
      <c r="J126" s="15"/>
      <c r="V126" s="15"/>
      <c r="W126" s="15"/>
    </row>
    <row r="127">
      <c r="J127" s="15"/>
      <c r="V127" s="15"/>
      <c r="W127" s="15"/>
    </row>
    <row r="128">
      <c r="J128" s="15"/>
      <c r="V128" s="15"/>
      <c r="W128" s="15"/>
    </row>
    <row r="129">
      <c r="J129" s="15"/>
      <c r="V129" s="15"/>
      <c r="W129" s="15"/>
    </row>
    <row r="130">
      <c r="J130" s="15"/>
      <c r="V130" s="15"/>
      <c r="W130" s="15"/>
    </row>
    <row r="131">
      <c r="J131" s="15"/>
      <c r="V131" s="15"/>
      <c r="W131" s="15"/>
    </row>
    <row r="132">
      <c r="J132" s="15"/>
      <c r="V132" s="15"/>
      <c r="W132" s="15"/>
    </row>
    <row r="133">
      <c r="J133" s="15"/>
      <c r="V133" s="15"/>
      <c r="W133" s="15"/>
    </row>
    <row r="134">
      <c r="J134" s="15"/>
      <c r="V134" s="15"/>
      <c r="W134" s="15"/>
    </row>
    <row r="135">
      <c r="J135" s="15"/>
      <c r="V135" s="15"/>
      <c r="W135" s="15"/>
    </row>
    <row r="136">
      <c r="J136" s="15"/>
      <c r="V136" s="15"/>
      <c r="W136" s="15"/>
    </row>
    <row r="137">
      <c r="J137" s="15"/>
      <c r="V137" s="15"/>
      <c r="W137" s="15"/>
    </row>
    <row r="138">
      <c r="J138" s="15"/>
      <c r="V138" s="15"/>
      <c r="W138" s="15"/>
    </row>
    <row r="139">
      <c r="J139" s="15"/>
      <c r="V139" s="15"/>
      <c r="W139" s="15"/>
    </row>
    <row r="140">
      <c r="J140" s="15"/>
      <c r="V140" s="15"/>
      <c r="W140" s="15"/>
    </row>
    <row r="141">
      <c r="J141" s="15"/>
      <c r="V141" s="15"/>
      <c r="W141" s="15"/>
    </row>
    <row r="142">
      <c r="J142" s="15"/>
      <c r="V142" s="15"/>
      <c r="W142" s="15"/>
    </row>
    <row r="143">
      <c r="J143" s="15"/>
      <c r="V143" s="15"/>
      <c r="W143" s="15"/>
    </row>
    <row r="144">
      <c r="J144" s="15"/>
      <c r="V144" s="15"/>
      <c r="W144" s="15"/>
    </row>
    <row r="145">
      <c r="J145" s="15"/>
      <c r="V145" s="15"/>
      <c r="W145" s="15"/>
    </row>
    <row r="146">
      <c r="J146" s="15"/>
      <c r="V146" s="15"/>
      <c r="W146" s="15"/>
    </row>
    <row r="147">
      <c r="J147" s="15"/>
      <c r="V147" s="15"/>
      <c r="W147" s="15"/>
    </row>
    <row r="148">
      <c r="J148" s="15"/>
      <c r="V148" s="15"/>
      <c r="W148" s="15"/>
    </row>
    <row r="149">
      <c r="J149" s="15"/>
      <c r="V149" s="15"/>
      <c r="W149" s="15"/>
    </row>
    <row r="150">
      <c r="J150" s="15"/>
      <c r="V150" s="15"/>
      <c r="W150" s="15"/>
    </row>
    <row r="151">
      <c r="J151" s="15"/>
      <c r="V151" s="15"/>
      <c r="W151" s="15"/>
    </row>
    <row r="152">
      <c r="J152" s="15"/>
      <c r="V152" s="15"/>
      <c r="W152" s="15"/>
    </row>
    <row r="153">
      <c r="J153" s="15"/>
      <c r="V153" s="15"/>
      <c r="W153" s="15"/>
    </row>
    <row r="154">
      <c r="J154" s="15"/>
      <c r="V154" s="15"/>
      <c r="W154" s="15"/>
    </row>
    <row r="155">
      <c r="J155" s="15"/>
      <c r="V155" s="15"/>
      <c r="W155" s="15"/>
    </row>
    <row r="156">
      <c r="J156" s="15"/>
      <c r="V156" s="15"/>
      <c r="W156" s="15"/>
    </row>
    <row r="157">
      <c r="J157" s="15"/>
      <c r="V157" s="15"/>
      <c r="W157" s="15"/>
    </row>
    <row r="158">
      <c r="J158" s="15"/>
      <c r="V158" s="15"/>
      <c r="W158" s="15"/>
    </row>
    <row r="159">
      <c r="J159" s="15"/>
      <c r="V159" s="15"/>
      <c r="W159" s="15"/>
    </row>
    <row r="160">
      <c r="J160" s="15"/>
      <c r="V160" s="15"/>
      <c r="W160" s="15"/>
    </row>
    <row r="161">
      <c r="J161" s="15"/>
      <c r="V161" s="15"/>
      <c r="W161" s="15"/>
    </row>
    <row r="162">
      <c r="J162" s="15"/>
      <c r="V162" s="15"/>
      <c r="W162" s="15"/>
    </row>
    <row r="163">
      <c r="J163" s="15"/>
      <c r="V163" s="15"/>
      <c r="W163" s="15"/>
    </row>
    <row r="164">
      <c r="J164" s="15"/>
      <c r="V164" s="15"/>
      <c r="W164" s="15"/>
    </row>
    <row r="165">
      <c r="J165" s="15"/>
      <c r="V165" s="15"/>
      <c r="W165" s="15"/>
    </row>
    <row r="166">
      <c r="J166" s="15"/>
      <c r="V166" s="15"/>
      <c r="W166" s="15"/>
    </row>
    <row r="167">
      <c r="J167" s="15"/>
      <c r="V167" s="15"/>
      <c r="W167" s="15"/>
    </row>
    <row r="168">
      <c r="J168" s="15"/>
      <c r="V168" s="15"/>
      <c r="W168" s="15"/>
    </row>
    <row r="169">
      <c r="J169" s="15"/>
      <c r="V169" s="15"/>
      <c r="W169" s="15"/>
    </row>
    <row r="170">
      <c r="J170" s="15"/>
      <c r="V170" s="15"/>
      <c r="W170" s="15"/>
    </row>
    <row r="171">
      <c r="J171" s="15"/>
      <c r="V171" s="15"/>
      <c r="W171" s="15"/>
    </row>
    <row r="172">
      <c r="J172" s="15"/>
      <c r="V172" s="15"/>
      <c r="W172" s="15"/>
    </row>
    <row r="173">
      <c r="J173" s="15"/>
      <c r="V173" s="15"/>
      <c r="W173" s="15"/>
    </row>
    <row r="174">
      <c r="J174" s="15"/>
      <c r="V174" s="15"/>
      <c r="W174" s="15"/>
    </row>
    <row r="175">
      <c r="J175" s="15"/>
      <c r="V175" s="15"/>
      <c r="W175" s="15"/>
    </row>
    <row r="176">
      <c r="J176" s="15"/>
      <c r="V176" s="15"/>
      <c r="W176" s="15"/>
    </row>
    <row r="177">
      <c r="J177" s="15"/>
      <c r="V177" s="15"/>
      <c r="W177" s="15"/>
    </row>
    <row r="178">
      <c r="J178" s="15"/>
      <c r="V178" s="15"/>
      <c r="W178" s="15"/>
    </row>
    <row r="179">
      <c r="J179" s="15"/>
      <c r="V179" s="15"/>
      <c r="W179" s="15"/>
    </row>
    <row r="180">
      <c r="J180" s="15"/>
      <c r="V180" s="15"/>
      <c r="W180" s="15"/>
    </row>
    <row r="181">
      <c r="J181" s="15"/>
      <c r="V181" s="15"/>
      <c r="W181" s="15"/>
    </row>
    <row r="182">
      <c r="J182" s="15"/>
      <c r="V182" s="15"/>
      <c r="W182" s="15"/>
    </row>
    <row r="183">
      <c r="J183" s="15"/>
      <c r="V183" s="15"/>
      <c r="W183" s="15"/>
    </row>
    <row r="184">
      <c r="J184" s="15"/>
      <c r="V184" s="15"/>
      <c r="W184" s="15"/>
    </row>
    <row r="185">
      <c r="J185" s="15"/>
      <c r="V185" s="15"/>
      <c r="W185" s="15"/>
    </row>
    <row r="186">
      <c r="J186" s="15"/>
      <c r="V186" s="15"/>
      <c r="W186" s="15"/>
    </row>
    <row r="187">
      <c r="J187" s="15"/>
      <c r="V187" s="15"/>
      <c r="W187" s="15"/>
    </row>
    <row r="188">
      <c r="J188" s="15"/>
      <c r="V188" s="15"/>
      <c r="W188" s="15"/>
    </row>
    <row r="189">
      <c r="J189" s="15"/>
      <c r="V189" s="15"/>
      <c r="W189" s="15"/>
    </row>
    <row r="190">
      <c r="J190" s="15"/>
      <c r="V190" s="15"/>
      <c r="W190" s="15"/>
    </row>
    <row r="191">
      <c r="J191" s="15"/>
      <c r="V191" s="15"/>
      <c r="W191" s="15"/>
    </row>
    <row r="192">
      <c r="J192" s="15"/>
      <c r="V192" s="15"/>
      <c r="W192" s="15"/>
    </row>
    <row r="193">
      <c r="J193" s="15"/>
      <c r="V193" s="15"/>
      <c r="W193" s="15"/>
    </row>
    <row r="194">
      <c r="J194" s="15"/>
      <c r="V194" s="15"/>
      <c r="W194" s="15"/>
    </row>
    <row r="195">
      <c r="J195" s="15"/>
      <c r="V195" s="15"/>
      <c r="W195" s="15"/>
    </row>
    <row r="196">
      <c r="J196" s="15"/>
      <c r="V196" s="15"/>
      <c r="W196" s="15"/>
    </row>
    <row r="197">
      <c r="J197" s="15"/>
      <c r="V197" s="15"/>
      <c r="W197" s="15"/>
    </row>
    <row r="198">
      <c r="J198" s="15"/>
      <c r="V198" s="15"/>
      <c r="W198" s="15"/>
    </row>
    <row r="199">
      <c r="J199" s="15"/>
      <c r="V199" s="15"/>
      <c r="W199" s="15"/>
    </row>
    <row r="200">
      <c r="J200" s="15"/>
      <c r="V200" s="15"/>
      <c r="W200" s="15"/>
    </row>
    <row r="201">
      <c r="J201" s="15"/>
      <c r="V201" s="15"/>
      <c r="W201" s="15"/>
    </row>
    <row r="202">
      <c r="J202" s="15"/>
      <c r="V202" s="15"/>
      <c r="W202" s="15"/>
    </row>
    <row r="203">
      <c r="J203" s="15"/>
      <c r="V203" s="15"/>
      <c r="W203" s="15"/>
    </row>
    <row r="204">
      <c r="J204" s="15"/>
      <c r="V204" s="15"/>
      <c r="W204" s="15"/>
    </row>
    <row r="205">
      <c r="J205" s="15"/>
      <c r="V205" s="15"/>
      <c r="W205" s="15"/>
    </row>
    <row r="206">
      <c r="J206" s="15"/>
      <c r="V206" s="15"/>
      <c r="W206" s="15"/>
    </row>
    <row r="207">
      <c r="J207" s="15"/>
      <c r="V207" s="15"/>
      <c r="W207" s="15"/>
    </row>
    <row r="208">
      <c r="J208" s="15"/>
      <c r="V208" s="15"/>
      <c r="W208" s="15"/>
    </row>
    <row r="209">
      <c r="J209" s="15"/>
      <c r="V209" s="15"/>
      <c r="W209" s="15"/>
    </row>
    <row r="210">
      <c r="J210" s="15"/>
      <c r="V210" s="15"/>
      <c r="W210" s="15"/>
    </row>
    <row r="211">
      <c r="J211" s="15"/>
      <c r="V211" s="15"/>
      <c r="W211" s="15"/>
    </row>
    <row r="212">
      <c r="J212" s="15"/>
      <c r="V212" s="15"/>
      <c r="W212" s="15"/>
    </row>
    <row r="213">
      <c r="J213" s="15"/>
      <c r="V213" s="15"/>
      <c r="W213" s="15"/>
    </row>
    <row r="214">
      <c r="J214" s="15"/>
      <c r="V214" s="15"/>
      <c r="W214" s="15"/>
    </row>
    <row r="215">
      <c r="J215" s="15"/>
      <c r="V215" s="15"/>
      <c r="W215" s="15"/>
    </row>
    <row r="216">
      <c r="J216" s="15"/>
      <c r="V216" s="15"/>
      <c r="W216" s="15"/>
    </row>
    <row r="217">
      <c r="J217" s="15"/>
      <c r="V217" s="15"/>
      <c r="W217" s="15"/>
    </row>
    <row r="218">
      <c r="J218" s="15"/>
      <c r="V218" s="15"/>
      <c r="W218" s="15"/>
    </row>
    <row r="219">
      <c r="J219" s="15"/>
      <c r="V219" s="15"/>
      <c r="W219" s="15"/>
    </row>
    <row r="220">
      <c r="J220" s="15"/>
      <c r="V220" s="15"/>
      <c r="W220" s="15"/>
    </row>
    <row r="221">
      <c r="J221" s="15"/>
      <c r="V221" s="15"/>
      <c r="W221" s="15"/>
    </row>
    <row r="222">
      <c r="J222" s="15"/>
      <c r="V222" s="15"/>
      <c r="W222" s="15"/>
    </row>
    <row r="223">
      <c r="J223" s="15"/>
      <c r="V223" s="15"/>
      <c r="W223" s="15"/>
    </row>
    <row r="224">
      <c r="J224" s="15"/>
      <c r="V224" s="15"/>
      <c r="W224" s="15"/>
    </row>
    <row r="225">
      <c r="J225" s="15"/>
      <c r="V225" s="15"/>
      <c r="W225" s="15"/>
    </row>
    <row r="226">
      <c r="J226" s="15"/>
      <c r="V226" s="15"/>
      <c r="W226" s="15"/>
    </row>
    <row r="227">
      <c r="J227" s="15"/>
      <c r="V227" s="15"/>
      <c r="W227" s="15"/>
    </row>
    <row r="228">
      <c r="J228" s="15"/>
      <c r="V228" s="15"/>
      <c r="W228" s="15"/>
    </row>
    <row r="229">
      <c r="J229" s="15"/>
      <c r="V229" s="15"/>
      <c r="W229" s="15"/>
    </row>
    <row r="230">
      <c r="J230" s="15"/>
      <c r="V230" s="15"/>
      <c r="W230" s="15"/>
    </row>
    <row r="231">
      <c r="J231" s="15"/>
      <c r="V231" s="15"/>
      <c r="W231" s="15"/>
    </row>
    <row r="232">
      <c r="J232" s="15"/>
      <c r="V232" s="15"/>
      <c r="W232" s="15"/>
    </row>
    <row r="233">
      <c r="J233" s="15"/>
      <c r="V233" s="15"/>
      <c r="W233" s="15"/>
    </row>
    <row r="234">
      <c r="J234" s="15"/>
      <c r="V234" s="15"/>
      <c r="W234" s="15"/>
    </row>
    <row r="235">
      <c r="J235" s="15"/>
      <c r="V235" s="15"/>
      <c r="W235" s="15"/>
    </row>
    <row r="236">
      <c r="J236" s="15"/>
      <c r="V236" s="15"/>
      <c r="W236" s="15"/>
    </row>
    <row r="237">
      <c r="J237" s="15"/>
      <c r="V237" s="15"/>
      <c r="W237" s="15"/>
    </row>
    <row r="238">
      <c r="J238" s="15"/>
      <c r="V238" s="15"/>
      <c r="W238" s="15"/>
    </row>
    <row r="239">
      <c r="J239" s="15"/>
      <c r="V239" s="15"/>
      <c r="W239" s="15"/>
    </row>
    <row r="240">
      <c r="J240" s="15"/>
      <c r="V240" s="15"/>
      <c r="W240" s="15"/>
    </row>
    <row r="241">
      <c r="J241" s="15"/>
      <c r="V241" s="15"/>
      <c r="W241" s="15"/>
    </row>
    <row r="242">
      <c r="J242" s="15"/>
      <c r="V242" s="15"/>
      <c r="W242" s="15"/>
    </row>
    <row r="243">
      <c r="J243" s="15"/>
      <c r="V243" s="15"/>
      <c r="W243" s="15"/>
    </row>
    <row r="244">
      <c r="J244" s="15"/>
      <c r="V244" s="15"/>
      <c r="W244" s="15"/>
    </row>
    <row r="245">
      <c r="J245" s="15"/>
      <c r="V245" s="15"/>
      <c r="W245" s="15"/>
    </row>
    <row r="246">
      <c r="J246" s="15"/>
      <c r="V246" s="15"/>
      <c r="W246" s="15"/>
    </row>
    <row r="247">
      <c r="J247" s="15"/>
      <c r="V247" s="15"/>
      <c r="W247" s="15"/>
    </row>
    <row r="248">
      <c r="J248" s="15"/>
      <c r="V248" s="15"/>
      <c r="W248" s="15"/>
    </row>
    <row r="249">
      <c r="J249" s="15"/>
      <c r="V249" s="15"/>
      <c r="W249" s="15"/>
    </row>
    <row r="250">
      <c r="J250" s="15"/>
      <c r="V250" s="15"/>
      <c r="W250" s="15"/>
    </row>
    <row r="251">
      <c r="J251" s="15"/>
      <c r="V251" s="15"/>
      <c r="W251" s="15"/>
    </row>
    <row r="252">
      <c r="J252" s="15"/>
      <c r="V252" s="15"/>
      <c r="W252" s="15"/>
    </row>
    <row r="253">
      <c r="J253" s="15"/>
      <c r="V253" s="15"/>
      <c r="W253" s="15"/>
    </row>
    <row r="254">
      <c r="J254" s="15"/>
      <c r="V254" s="15"/>
      <c r="W254" s="15"/>
    </row>
    <row r="255">
      <c r="J255" s="15"/>
      <c r="V255" s="15"/>
      <c r="W255" s="15"/>
    </row>
    <row r="256">
      <c r="J256" s="15"/>
      <c r="V256" s="15"/>
      <c r="W256" s="15"/>
    </row>
    <row r="257">
      <c r="J257" s="15"/>
      <c r="V257" s="15"/>
      <c r="W257" s="15"/>
    </row>
    <row r="258">
      <c r="J258" s="15"/>
      <c r="V258" s="15"/>
      <c r="W258" s="15"/>
    </row>
    <row r="259">
      <c r="J259" s="15"/>
      <c r="V259" s="15"/>
      <c r="W259" s="15"/>
    </row>
    <row r="260">
      <c r="J260" s="15"/>
      <c r="V260" s="15"/>
      <c r="W260" s="15"/>
    </row>
    <row r="261">
      <c r="J261" s="15"/>
      <c r="V261" s="15"/>
      <c r="W261" s="15"/>
    </row>
    <row r="262">
      <c r="J262" s="15"/>
      <c r="V262" s="15"/>
      <c r="W262" s="15"/>
    </row>
    <row r="263">
      <c r="J263" s="15"/>
      <c r="V263" s="15"/>
      <c r="W263" s="15"/>
    </row>
    <row r="264">
      <c r="J264" s="15"/>
      <c r="V264" s="15"/>
      <c r="W264" s="15"/>
    </row>
    <row r="265">
      <c r="J265" s="15"/>
      <c r="V265" s="15"/>
      <c r="W265" s="15"/>
    </row>
    <row r="266">
      <c r="J266" s="15"/>
      <c r="V266" s="15"/>
      <c r="W266" s="15"/>
    </row>
    <row r="267">
      <c r="J267" s="15"/>
      <c r="V267" s="15"/>
      <c r="W267" s="15"/>
    </row>
    <row r="268">
      <c r="J268" s="15"/>
      <c r="V268" s="15"/>
      <c r="W268" s="15"/>
    </row>
    <row r="269">
      <c r="J269" s="15"/>
      <c r="V269" s="15"/>
      <c r="W269" s="15"/>
    </row>
    <row r="270">
      <c r="J270" s="15"/>
      <c r="V270" s="15"/>
      <c r="W270" s="15"/>
    </row>
    <row r="271">
      <c r="J271" s="15"/>
      <c r="V271" s="15"/>
      <c r="W271" s="15"/>
    </row>
    <row r="272">
      <c r="J272" s="15"/>
      <c r="V272" s="15"/>
      <c r="W272" s="15"/>
    </row>
    <row r="273">
      <c r="J273" s="15"/>
      <c r="V273" s="15"/>
      <c r="W273" s="15"/>
    </row>
    <row r="274">
      <c r="J274" s="15"/>
      <c r="V274" s="15"/>
      <c r="W274" s="15"/>
    </row>
    <row r="275">
      <c r="J275" s="15"/>
      <c r="V275" s="15"/>
      <c r="W275" s="15"/>
    </row>
    <row r="276">
      <c r="J276" s="15"/>
      <c r="V276" s="15"/>
      <c r="W276" s="15"/>
    </row>
    <row r="277">
      <c r="J277" s="15"/>
      <c r="V277" s="15"/>
      <c r="W277" s="15"/>
    </row>
    <row r="278">
      <c r="J278" s="15"/>
      <c r="V278" s="15"/>
      <c r="W278" s="15"/>
    </row>
    <row r="279">
      <c r="J279" s="15"/>
      <c r="V279" s="15"/>
      <c r="W279" s="15"/>
    </row>
    <row r="280">
      <c r="J280" s="15"/>
      <c r="V280" s="15"/>
      <c r="W280" s="15"/>
    </row>
    <row r="281">
      <c r="J281" s="15"/>
      <c r="V281" s="15"/>
      <c r="W281" s="15"/>
    </row>
    <row r="282">
      <c r="J282" s="15"/>
      <c r="V282" s="15"/>
      <c r="W282" s="15"/>
    </row>
    <row r="283">
      <c r="J283" s="15"/>
      <c r="V283" s="15"/>
      <c r="W283" s="15"/>
    </row>
    <row r="284">
      <c r="J284" s="15"/>
      <c r="V284" s="15"/>
      <c r="W284" s="15"/>
    </row>
    <row r="285">
      <c r="J285" s="15"/>
      <c r="V285" s="15"/>
      <c r="W285" s="15"/>
    </row>
    <row r="286">
      <c r="J286" s="15"/>
      <c r="V286" s="15"/>
      <c r="W286" s="15"/>
    </row>
    <row r="287">
      <c r="J287" s="15"/>
      <c r="V287" s="15"/>
      <c r="W287" s="15"/>
    </row>
    <row r="288">
      <c r="J288" s="15"/>
      <c r="V288" s="15"/>
      <c r="W288" s="15"/>
    </row>
    <row r="289">
      <c r="J289" s="15"/>
      <c r="V289" s="15"/>
      <c r="W289" s="15"/>
    </row>
    <row r="290">
      <c r="J290" s="15"/>
      <c r="V290" s="15"/>
      <c r="W290" s="15"/>
    </row>
    <row r="291">
      <c r="J291" s="15"/>
      <c r="V291" s="15"/>
      <c r="W291" s="15"/>
    </row>
    <row r="292">
      <c r="J292" s="15"/>
      <c r="V292" s="15"/>
      <c r="W292" s="15"/>
    </row>
    <row r="293">
      <c r="J293" s="15"/>
      <c r="V293" s="15"/>
      <c r="W293" s="15"/>
    </row>
    <row r="294">
      <c r="J294" s="15"/>
      <c r="V294" s="15"/>
      <c r="W294" s="15"/>
    </row>
    <row r="295">
      <c r="J295" s="15"/>
      <c r="V295" s="15"/>
      <c r="W295" s="15"/>
    </row>
    <row r="296">
      <c r="J296" s="15"/>
      <c r="V296" s="15"/>
      <c r="W296" s="15"/>
    </row>
    <row r="297">
      <c r="J297" s="15"/>
      <c r="V297" s="15"/>
      <c r="W297" s="15"/>
    </row>
    <row r="298">
      <c r="J298" s="15"/>
      <c r="V298" s="15"/>
      <c r="W298" s="15"/>
    </row>
    <row r="299">
      <c r="J299" s="15"/>
      <c r="V299" s="15"/>
      <c r="W299" s="15"/>
    </row>
    <row r="300">
      <c r="J300" s="15"/>
      <c r="V300" s="15"/>
      <c r="W300" s="15"/>
    </row>
    <row r="301">
      <c r="J301" s="15"/>
      <c r="V301" s="15"/>
      <c r="W301" s="15"/>
    </row>
    <row r="302">
      <c r="J302" s="15"/>
      <c r="V302" s="15"/>
      <c r="W302" s="15"/>
    </row>
    <row r="303">
      <c r="J303" s="15"/>
      <c r="V303" s="15"/>
      <c r="W303" s="15"/>
    </row>
    <row r="304">
      <c r="J304" s="15"/>
      <c r="V304" s="15"/>
      <c r="W304" s="15"/>
    </row>
    <row r="305">
      <c r="J305" s="15"/>
      <c r="V305" s="15"/>
      <c r="W305" s="15"/>
    </row>
    <row r="306">
      <c r="J306" s="15"/>
      <c r="V306" s="15"/>
      <c r="W306" s="15"/>
    </row>
    <row r="307">
      <c r="J307" s="15"/>
      <c r="V307" s="15"/>
      <c r="W307" s="15"/>
    </row>
    <row r="308">
      <c r="J308" s="15"/>
      <c r="V308" s="15"/>
      <c r="W308" s="15"/>
    </row>
    <row r="309">
      <c r="J309" s="15"/>
      <c r="V309" s="15"/>
      <c r="W309" s="15"/>
    </row>
    <row r="310">
      <c r="J310" s="15"/>
      <c r="V310" s="15"/>
      <c r="W310" s="15"/>
    </row>
    <row r="311">
      <c r="J311" s="15"/>
      <c r="V311" s="15"/>
      <c r="W311" s="15"/>
    </row>
    <row r="312">
      <c r="J312" s="15"/>
      <c r="V312" s="15"/>
      <c r="W312" s="15"/>
    </row>
    <row r="313">
      <c r="J313" s="15"/>
      <c r="V313" s="15"/>
      <c r="W313" s="15"/>
    </row>
    <row r="314">
      <c r="J314" s="15"/>
      <c r="V314" s="15"/>
      <c r="W314" s="15"/>
    </row>
    <row r="315">
      <c r="J315" s="15"/>
      <c r="V315" s="15"/>
      <c r="W315" s="15"/>
    </row>
    <row r="316">
      <c r="J316" s="15"/>
      <c r="V316" s="15"/>
      <c r="W316" s="15"/>
    </row>
    <row r="317">
      <c r="J317" s="15"/>
      <c r="V317" s="15"/>
      <c r="W317" s="15"/>
    </row>
    <row r="318">
      <c r="J318" s="15"/>
      <c r="V318" s="15"/>
      <c r="W318" s="15"/>
    </row>
    <row r="319">
      <c r="J319" s="15"/>
      <c r="V319" s="15"/>
      <c r="W319" s="15"/>
    </row>
    <row r="320">
      <c r="J320" s="15"/>
      <c r="V320" s="15"/>
      <c r="W320" s="15"/>
    </row>
    <row r="321">
      <c r="J321" s="15"/>
      <c r="V321" s="15"/>
      <c r="W321" s="15"/>
    </row>
    <row r="322">
      <c r="J322" s="15"/>
      <c r="V322" s="15"/>
      <c r="W322" s="15"/>
    </row>
    <row r="323">
      <c r="J323" s="15"/>
      <c r="V323" s="15"/>
      <c r="W323" s="15"/>
    </row>
    <row r="324">
      <c r="J324" s="15"/>
      <c r="V324" s="15"/>
      <c r="W324" s="15"/>
    </row>
    <row r="325">
      <c r="J325" s="15"/>
      <c r="V325" s="15"/>
      <c r="W325" s="15"/>
    </row>
    <row r="326">
      <c r="J326" s="15"/>
      <c r="V326" s="15"/>
      <c r="W326" s="15"/>
    </row>
    <row r="327">
      <c r="J327" s="15"/>
      <c r="V327" s="15"/>
      <c r="W327" s="15"/>
    </row>
    <row r="328">
      <c r="J328" s="15"/>
      <c r="V328" s="15"/>
      <c r="W328" s="15"/>
    </row>
    <row r="329">
      <c r="J329" s="15"/>
      <c r="V329" s="15"/>
      <c r="W329" s="15"/>
    </row>
    <row r="330">
      <c r="J330" s="15"/>
      <c r="V330" s="15"/>
      <c r="W330" s="15"/>
    </row>
    <row r="331">
      <c r="J331" s="15"/>
      <c r="V331" s="15"/>
      <c r="W331" s="15"/>
    </row>
    <row r="332">
      <c r="J332" s="15"/>
      <c r="V332" s="15"/>
      <c r="W332" s="15"/>
    </row>
    <row r="333">
      <c r="J333" s="15"/>
      <c r="V333" s="15"/>
      <c r="W333" s="15"/>
    </row>
    <row r="334">
      <c r="J334" s="15"/>
      <c r="V334" s="15"/>
      <c r="W334" s="15"/>
    </row>
    <row r="335">
      <c r="J335" s="15"/>
      <c r="V335" s="15"/>
      <c r="W335" s="15"/>
    </row>
    <row r="336">
      <c r="J336" s="15"/>
      <c r="V336" s="15"/>
      <c r="W336" s="15"/>
    </row>
    <row r="337">
      <c r="J337" s="15"/>
      <c r="V337" s="15"/>
      <c r="W337" s="15"/>
    </row>
    <row r="338">
      <c r="J338" s="15"/>
      <c r="V338" s="15"/>
      <c r="W338" s="15"/>
    </row>
    <row r="339">
      <c r="J339" s="15"/>
      <c r="V339" s="15"/>
      <c r="W339" s="15"/>
    </row>
    <row r="340">
      <c r="J340" s="15"/>
      <c r="V340" s="15"/>
      <c r="W340" s="15"/>
    </row>
    <row r="341">
      <c r="J341" s="15"/>
      <c r="V341" s="15"/>
      <c r="W341" s="15"/>
    </row>
    <row r="342">
      <c r="J342" s="15"/>
      <c r="V342" s="15"/>
      <c r="W342" s="15"/>
    </row>
    <row r="343">
      <c r="J343" s="15"/>
      <c r="V343" s="15"/>
      <c r="W343" s="15"/>
    </row>
    <row r="344">
      <c r="J344" s="15"/>
      <c r="V344" s="15"/>
      <c r="W344" s="15"/>
    </row>
    <row r="345">
      <c r="J345" s="15"/>
      <c r="V345" s="15"/>
      <c r="W345" s="15"/>
    </row>
    <row r="346">
      <c r="J346" s="15"/>
      <c r="V346" s="15"/>
      <c r="W346" s="15"/>
    </row>
    <row r="347">
      <c r="J347" s="15"/>
      <c r="V347" s="15"/>
      <c r="W347" s="15"/>
    </row>
    <row r="348">
      <c r="J348" s="15"/>
      <c r="V348" s="15"/>
      <c r="W348" s="15"/>
    </row>
    <row r="349">
      <c r="J349" s="15"/>
      <c r="V349" s="15"/>
      <c r="W349" s="15"/>
    </row>
    <row r="350">
      <c r="J350" s="15"/>
      <c r="V350" s="15"/>
      <c r="W350" s="15"/>
    </row>
    <row r="351">
      <c r="J351" s="15"/>
      <c r="V351" s="15"/>
      <c r="W351" s="15"/>
    </row>
    <row r="352">
      <c r="J352" s="15"/>
      <c r="V352" s="15"/>
      <c r="W352" s="15"/>
    </row>
    <row r="353">
      <c r="J353" s="15"/>
      <c r="V353" s="15"/>
      <c r="W353" s="15"/>
    </row>
    <row r="354">
      <c r="J354" s="15"/>
      <c r="V354" s="15"/>
      <c r="W354" s="15"/>
    </row>
    <row r="355">
      <c r="J355" s="15"/>
      <c r="V355" s="15"/>
      <c r="W355" s="15"/>
    </row>
    <row r="356">
      <c r="J356" s="15"/>
      <c r="V356" s="15"/>
      <c r="W356" s="15"/>
    </row>
    <row r="357">
      <c r="J357" s="15"/>
      <c r="V357" s="15"/>
      <c r="W357" s="15"/>
    </row>
    <row r="358">
      <c r="J358" s="15"/>
      <c r="V358" s="15"/>
      <c r="W358" s="15"/>
    </row>
    <row r="359">
      <c r="J359" s="15"/>
      <c r="V359" s="15"/>
      <c r="W359" s="15"/>
    </row>
    <row r="360">
      <c r="J360" s="15"/>
      <c r="V360" s="15"/>
      <c r="W360" s="15"/>
    </row>
    <row r="361">
      <c r="J361" s="15"/>
      <c r="V361" s="15"/>
      <c r="W361" s="15"/>
    </row>
    <row r="362">
      <c r="J362" s="15"/>
      <c r="V362" s="15"/>
      <c r="W362" s="15"/>
    </row>
    <row r="363">
      <c r="J363" s="15"/>
      <c r="V363" s="15"/>
      <c r="W363" s="15"/>
    </row>
    <row r="364">
      <c r="J364" s="15"/>
      <c r="V364" s="15"/>
      <c r="W364" s="15"/>
    </row>
    <row r="365">
      <c r="J365" s="15"/>
      <c r="V365" s="15"/>
      <c r="W365" s="15"/>
    </row>
    <row r="366">
      <c r="J366" s="15"/>
      <c r="V366" s="15"/>
      <c r="W366" s="15"/>
    </row>
    <row r="367">
      <c r="J367" s="15"/>
      <c r="V367" s="15"/>
      <c r="W367" s="15"/>
    </row>
    <row r="368">
      <c r="J368" s="15"/>
      <c r="V368" s="15"/>
      <c r="W368" s="15"/>
    </row>
    <row r="369">
      <c r="J369" s="15"/>
      <c r="V369" s="15"/>
      <c r="W369" s="15"/>
    </row>
    <row r="370">
      <c r="J370" s="15"/>
      <c r="V370" s="15"/>
      <c r="W370" s="15"/>
    </row>
    <row r="371">
      <c r="J371" s="15"/>
      <c r="V371" s="15"/>
      <c r="W371" s="15"/>
    </row>
    <row r="372">
      <c r="J372" s="15"/>
      <c r="V372" s="15"/>
      <c r="W372" s="15"/>
    </row>
    <row r="373">
      <c r="J373" s="15"/>
      <c r="V373" s="15"/>
      <c r="W373" s="15"/>
    </row>
    <row r="374">
      <c r="J374" s="15"/>
      <c r="V374" s="15"/>
      <c r="W374" s="15"/>
    </row>
    <row r="375">
      <c r="J375" s="15"/>
      <c r="V375" s="15"/>
      <c r="W375" s="15"/>
    </row>
    <row r="376">
      <c r="J376" s="15"/>
      <c r="V376" s="15"/>
      <c r="W376" s="15"/>
    </row>
    <row r="377">
      <c r="J377" s="15"/>
      <c r="V377" s="15"/>
      <c r="W377" s="15"/>
    </row>
    <row r="378">
      <c r="J378" s="15"/>
      <c r="V378" s="15"/>
      <c r="W378" s="15"/>
    </row>
    <row r="379">
      <c r="J379" s="15"/>
      <c r="V379" s="15"/>
      <c r="W379" s="15"/>
    </row>
    <row r="380">
      <c r="J380" s="15"/>
      <c r="V380" s="15"/>
      <c r="W380" s="15"/>
    </row>
    <row r="381">
      <c r="J381" s="15"/>
      <c r="V381" s="15"/>
      <c r="W381" s="15"/>
    </row>
    <row r="382">
      <c r="J382" s="15"/>
      <c r="V382" s="15"/>
      <c r="W382" s="15"/>
    </row>
    <row r="383">
      <c r="J383" s="15"/>
      <c r="V383" s="15"/>
      <c r="W383" s="15"/>
    </row>
    <row r="384">
      <c r="J384" s="15"/>
      <c r="V384" s="15"/>
      <c r="W384" s="15"/>
    </row>
    <row r="385">
      <c r="J385" s="15"/>
      <c r="V385" s="15"/>
      <c r="W385" s="15"/>
    </row>
    <row r="386">
      <c r="J386" s="15"/>
      <c r="V386" s="15"/>
      <c r="W386" s="15"/>
    </row>
    <row r="387">
      <c r="J387" s="15"/>
      <c r="V387" s="15"/>
      <c r="W387" s="15"/>
    </row>
    <row r="388">
      <c r="J388" s="15"/>
      <c r="V388" s="15"/>
      <c r="W388" s="15"/>
    </row>
    <row r="389">
      <c r="J389" s="15"/>
      <c r="V389" s="15"/>
      <c r="W389" s="15"/>
    </row>
    <row r="390">
      <c r="J390" s="15"/>
      <c r="V390" s="15"/>
      <c r="W390" s="15"/>
    </row>
    <row r="391">
      <c r="J391" s="15"/>
      <c r="V391" s="15"/>
      <c r="W391" s="15"/>
    </row>
    <row r="392">
      <c r="J392" s="15"/>
      <c r="V392" s="15"/>
      <c r="W392" s="15"/>
    </row>
    <row r="393">
      <c r="J393" s="15"/>
      <c r="V393" s="15"/>
      <c r="W393" s="15"/>
    </row>
    <row r="394">
      <c r="J394" s="15"/>
      <c r="V394" s="15"/>
      <c r="W394" s="15"/>
    </row>
    <row r="395">
      <c r="J395" s="15"/>
      <c r="V395" s="15"/>
      <c r="W395" s="15"/>
    </row>
    <row r="396">
      <c r="J396" s="15"/>
      <c r="V396" s="15"/>
      <c r="W396" s="15"/>
    </row>
    <row r="397">
      <c r="J397" s="15"/>
      <c r="V397" s="15"/>
      <c r="W397" s="15"/>
    </row>
    <row r="398">
      <c r="J398" s="15"/>
      <c r="V398" s="15"/>
      <c r="W398" s="15"/>
    </row>
    <row r="399">
      <c r="J399" s="15"/>
      <c r="V399" s="15"/>
      <c r="W399" s="15"/>
    </row>
    <row r="400">
      <c r="J400" s="15"/>
      <c r="V400" s="15"/>
      <c r="W400" s="15"/>
    </row>
    <row r="401">
      <c r="J401" s="15"/>
      <c r="V401" s="15"/>
      <c r="W401" s="15"/>
    </row>
    <row r="402">
      <c r="J402" s="15"/>
      <c r="V402" s="15"/>
      <c r="W402" s="15"/>
    </row>
    <row r="403">
      <c r="J403" s="15"/>
      <c r="V403" s="15"/>
      <c r="W403" s="15"/>
    </row>
    <row r="404">
      <c r="J404" s="15"/>
      <c r="V404" s="15"/>
      <c r="W404" s="15"/>
    </row>
    <row r="405">
      <c r="J405" s="15"/>
      <c r="V405" s="15"/>
      <c r="W405" s="15"/>
    </row>
    <row r="406">
      <c r="J406" s="15"/>
      <c r="V406" s="15"/>
      <c r="W406" s="15"/>
    </row>
    <row r="407">
      <c r="J407" s="15"/>
      <c r="V407" s="15"/>
      <c r="W407" s="15"/>
    </row>
    <row r="408">
      <c r="J408" s="15"/>
      <c r="V408" s="15"/>
      <c r="W408" s="15"/>
    </row>
    <row r="409">
      <c r="J409" s="15"/>
      <c r="V409" s="15"/>
      <c r="W409" s="15"/>
    </row>
    <row r="410">
      <c r="J410" s="15"/>
      <c r="V410" s="15"/>
      <c r="W410" s="15"/>
    </row>
    <row r="411">
      <c r="J411" s="15"/>
      <c r="V411" s="15"/>
      <c r="W411" s="15"/>
    </row>
    <row r="412">
      <c r="J412" s="15"/>
      <c r="V412" s="15"/>
      <c r="W412" s="15"/>
    </row>
    <row r="413">
      <c r="J413" s="15"/>
      <c r="V413" s="15"/>
      <c r="W413" s="15"/>
    </row>
    <row r="414">
      <c r="J414" s="15"/>
      <c r="V414" s="15"/>
      <c r="W414" s="15"/>
    </row>
    <row r="415">
      <c r="J415" s="15"/>
      <c r="V415" s="15"/>
      <c r="W415" s="15"/>
    </row>
    <row r="416">
      <c r="J416" s="15"/>
      <c r="V416" s="15"/>
      <c r="W416" s="15"/>
    </row>
    <row r="417">
      <c r="J417" s="15"/>
      <c r="V417" s="15"/>
      <c r="W417" s="15"/>
    </row>
    <row r="418">
      <c r="J418" s="15"/>
      <c r="V418" s="15"/>
      <c r="W418" s="15"/>
    </row>
    <row r="419">
      <c r="J419" s="15"/>
      <c r="V419" s="15"/>
      <c r="W419" s="15"/>
    </row>
    <row r="420">
      <c r="J420" s="15"/>
      <c r="V420" s="15"/>
      <c r="W420" s="15"/>
    </row>
    <row r="421">
      <c r="J421" s="15"/>
      <c r="V421" s="15"/>
      <c r="W421" s="15"/>
    </row>
    <row r="422">
      <c r="J422" s="15"/>
      <c r="V422" s="15"/>
      <c r="W422" s="15"/>
    </row>
    <row r="423">
      <c r="J423" s="15"/>
      <c r="V423" s="15"/>
      <c r="W423" s="15"/>
    </row>
    <row r="424">
      <c r="J424" s="15"/>
      <c r="V424" s="15"/>
      <c r="W424" s="15"/>
    </row>
    <row r="425">
      <c r="J425" s="15"/>
      <c r="V425" s="15"/>
      <c r="W425" s="15"/>
    </row>
    <row r="426">
      <c r="J426" s="15"/>
      <c r="V426" s="15"/>
      <c r="W426" s="15"/>
    </row>
    <row r="427">
      <c r="J427" s="15"/>
      <c r="V427" s="15"/>
      <c r="W427" s="15"/>
    </row>
    <row r="428">
      <c r="J428" s="15"/>
      <c r="V428" s="15"/>
      <c r="W428" s="15"/>
    </row>
    <row r="429">
      <c r="J429" s="15"/>
      <c r="V429" s="15"/>
      <c r="W429" s="15"/>
    </row>
    <row r="430">
      <c r="J430" s="15"/>
      <c r="V430" s="15"/>
      <c r="W430" s="15"/>
    </row>
    <row r="431">
      <c r="J431" s="15"/>
      <c r="V431" s="15"/>
      <c r="W431" s="15"/>
    </row>
    <row r="432">
      <c r="J432" s="15"/>
      <c r="V432" s="15"/>
      <c r="W432" s="15"/>
    </row>
    <row r="433">
      <c r="J433" s="15"/>
      <c r="V433" s="15"/>
      <c r="W433" s="15"/>
    </row>
    <row r="434">
      <c r="J434" s="15"/>
      <c r="V434" s="15"/>
      <c r="W434" s="15"/>
    </row>
    <row r="435">
      <c r="J435" s="15"/>
      <c r="V435" s="15"/>
      <c r="W435" s="15"/>
    </row>
    <row r="436">
      <c r="J436" s="15"/>
      <c r="V436" s="15"/>
      <c r="W436" s="15"/>
    </row>
    <row r="437">
      <c r="J437" s="15"/>
      <c r="V437" s="15"/>
      <c r="W437" s="15"/>
    </row>
    <row r="438">
      <c r="J438" s="15"/>
      <c r="V438" s="15"/>
      <c r="W438" s="15"/>
    </row>
    <row r="439">
      <c r="J439" s="15"/>
      <c r="V439" s="15"/>
      <c r="W439" s="15"/>
    </row>
    <row r="440">
      <c r="J440" s="15"/>
      <c r="V440" s="15"/>
      <c r="W440" s="15"/>
    </row>
    <row r="441">
      <c r="J441" s="15"/>
      <c r="V441" s="15"/>
      <c r="W441" s="15"/>
    </row>
    <row r="442">
      <c r="J442" s="15"/>
      <c r="V442" s="15"/>
      <c r="W442" s="15"/>
    </row>
    <row r="443">
      <c r="J443" s="15"/>
      <c r="V443" s="15"/>
      <c r="W443" s="15"/>
    </row>
    <row r="444">
      <c r="J444" s="15"/>
      <c r="V444" s="15"/>
      <c r="W444" s="15"/>
    </row>
    <row r="445">
      <c r="J445" s="15"/>
      <c r="V445" s="15"/>
      <c r="W445" s="15"/>
    </row>
    <row r="446">
      <c r="J446" s="15"/>
      <c r="V446" s="15"/>
      <c r="W446" s="15"/>
    </row>
    <row r="447">
      <c r="J447" s="15"/>
      <c r="V447" s="15"/>
      <c r="W447" s="15"/>
    </row>
    <row r="448">
      <c r="J448" s="15"/>
      <c r="V448" s="15"/>
      <c r="W448" s="15"/>
    </row>
    <row r="449">
      <c r="J449" s="15"/>
      <c r="V449" s="15"/>
      <c r="W449" s="15"/>
    </row>
    <row r="450">
      <c r="J450" s="15"/>
      <c r="V450" s="15"/>
      <c r="W450" s="15"/>
    </row>
    <row r="451">
      <c r="J451" s="15"/>
      <c r="V451" s="15"/>
      <c r="W451" s="15"/>
    </row>
    <row r="452">
      <c r="J452" s="15"/>
      <c r="V452" s="15"/>
      <c r="W452" s="15"/>
    </row>
    <row r="453">
      <c r="J453" s="15"/>
      <c r="V453" s="15"/>
      <c r="W453" s="15"/>
    </row>
    <row r="454">
      <c r="J454" s="15"/>
      <c r="V454" s="15"/>
      <c r="W454" s="15"/>
    </row>
    <row r="455">
      <c r="J455" s="15"/>
      <c r="V455" s="15"/>
      <c r="W455" s="15"/>
    </row>
    <row r="456">
      <c r="J456" s="15"/>
      <c r="V456" s="15"/>
      <c r="W456" s="15"/>
    </row>
    <row r="457">
      <c r="J457" s="15"/>
      <c r="V457" s="15"/>
      <c r="W457" s="15"/>
    </row>
    <row r="458">
      <c r="J458" s="15"/>
      <c r="V458" s="15"/>
      <c r="W458" s="15"/>
    </row>
    <row r="459">
      <c r="J459" s="15"/>
      <c r="V459" s="15"/>
      <c r="W459" s="15"/>
    </row>
    <row r="460">
      <c r="J460" s="15"/>
      <c r="V460" s="15"/>
      <c r="W460" s="15"/>
    </row>
    <row r="461">
      <c r="J461" s="15"/>
      <c r="V461" s="15"/>
      <c r="W461" s="15"/>
    </row>
    <row r="462">
      <c r="J462" s="15"/>
      <c r="V462" s="15"/>
      <c r="W462" s="15"/>
    </row>
    <row r="463">
      <c r="J463" s="15"/>
      <c r="V463" s="15"/>
      <c r="W463" s="15"/>
    </row>
    <row r="464">
      <c r="J464" s="15"/>
      <c r="V464" s="15"/>
      <c r="W464" s="15"/>
    </row>
    <row r="465">
      <c r="J465" s="15"/>
      <c r="V465" s="15"/>
      <c r="W465" s="15"/>
    </row>
    <row r="466">
      <c r="J466" s="15"/>
      <c r="V466" s="15"/>
      <c r="W466" s="15"/>
    </row>
    <row r="467">
      <c r="J467" s="15"/>
      <c r="V467" s="15"/>
      <c r="W467" s="15"/>
    </row>
    <row r="468">
      <c r="J468" s="15"/>
      <c r="V468" s="15"/>
      <c r="W468" s="15"/>
    </row>
    <row r="469">
      <c r="J469" s="15"/>
      <c r="V469" s="15"/>
      <c r="W469" s="15"/>
    </row>
    <row r="470">
      <c r="J470" s="15"/>
      <c r="V470" s="15"/>
      <c r="W470" s="15"/>
    </row>
    <row r="471">
      <c r="J471" s="15"/>
      <c r="V471" s="15"/>
      <c r="W471" s="15"/>
    </row>
    <row r="472">
      <c r="J472" s="15"/>
      <c r="V472" s="15"/>
      <c r="W472" s="15"/>
    </row>
    <row r="473">
      <c r="J473" s="15"/>
      <c r="V473" s="15"/>
      <c r="W473" s="15"/>
    </row>
    <row r="474">
      <c r="J474" s="15"/>
      <c r="V474" s="15"/>
      <c r="W474" s="15"/>
    </row>
    <row r="475">
      <c r="J475" s="15"/>
      <c r="V475" s="15"/>
      <c r="W475" s="15"/>
    </row>
    <row r="476">
      <c r="J476" s="15"/>
      <c r="V476" s="15"/>
      <c r="W476" s="15"/>
    </row>
    <row r="477">
      <c r="J477" s="15"/>
      <c r="V477" s="15"/>
      <c r="W477" s="15"/>
    </row>
    <row r="478">
      <c r="J478" s="15"/>
      <c r="V478" s="15"/>
      <c r="W478" s="15"/>
    </row>
    <row r="479">
      <c r="J479" s="15"/>
      <c r="V479" s="15"/>
      <c r="W479" s="15"/>
    </row>
    <row r="480">
      <c r="J480" s="15"/>
      <c r="V480" s="15"/>
      <c r="W480" s="15"/>
    </row>
    <row r="481">
      <c r="J481" s="15"/>
      <c r="V481" s="15"/>
      <c r="W481" s="15"/>
    </row>
    <row r="482">
      <c r="J482" s="15"/>
      <c r="V482" s="15"/>
      <c r="W482" s="15"/>
    </row>
    <row r="483">
      <c r="J483" s="15"/>
      <c r="V483" s="15"/>
      <c r="W483" s="15"/>
    </row>
    <row r="484">
      <c r="J484" s="15"/>
      <c r="V484" s="15"/>
      <c r="W484" s="15"/>
    </row>
    <row r="485">
      <c r="J485" s="15"/>
      <c r="V485" s="15"/>
      <c r="W485" s="15"/>
    </row>
    <row r="486">
      <c r="J486" s="15"/>
      <c r="V486" s="15"/>
      <c r="W486" s="15"/>
    </row>
    <row r="487">
      <c r="J487" s="15"/>
      <c r="V487" s="15"/>
      <c r="W487" s="15"/>
    </row>
    <row r="488">
      <c r="J488" s="15"/>
      <c r="V488" s="15"/>
      <c r="W488" s="15"/>
    </row>
    <row r="489">
      <c r="J489" s="15"/>
      <c r="V489" s="15"/>
      <c r="W489" s="15"/>
    </row>
    <row r="490">
      <c r="J490" s="15"/>
      <c r="V490" s="15"/>
      <c r="W490" s="15"/>
    </row>
    <row r="491">
      <c r="J491" s="15"/>
      <c r="V491" s="15"/>
      <c r="W491" s="15"/>
    </row>
    <row r="492">
      <c r="J492" s="15"/>
      <c r="V492" s="15"/>
      <c r="W492" s="15"/>
    </row>
    <row r="493">
      <c r="J493" s="15"/>
      <c r="V493" s="15"/>
      <c r="W493" s="15"/>
    </row>
    <row r="494">
      <c r="J494" s="15"/>
      <c r="V494" s="15"/>
      <c r="W494" s="15"/>
    </row>
    <row r="495">
      <c r="J495" s="15"/>
      <c r="V495" s="15"/>
      <c r="W495" s="15"/>
    </row>
    <row r="496">
      <c r="J496" s="15"/>
      <c r="V496" s="15"/>
      <c r="W496" s="15"/>
    </row>
    <row r="497">
      <c r="J497" s="15"/>
      <c r="V497" s="15"/>
      <c r="W497" s="15"/>
    </row>
    <row r="498">
      <c r="J498" s="15"/>
      <c r="V498" s="15"/>
      <c r="W498" s="15"/>
    </row>
    <row r="499">
      <c r="J499" s="15"/>
      <c r="V499" s="15"/>
      <c r="W499" s="15"/>
    </row>
    <row r="500">
      <c r="J500" s="15"/>
      <c r="V500" s="15"/>
      <c r="W500" s="15"/>
    </row>
    <row r="501">
      <c r="J501" s="15"/>
      <c r="V501" s="15"/>
      <c r="W501" s="15"/>
    </row>
    <row r="502">
      <c r="J502" s="15"/>
      <c r="V502" s="15"/>
      <c r="W502" s="15"/>
    </row>
    <row r="503">
      <c r="J503" s="15"/>
      <c r="V503" s="15"/>
      <c r="W503" s="15"/>
    </row>
    <row r="504">
      <c r="J504" s="15"/>
      <c r="V504" s="15"/>
      <c r="W504" s="15"/>
    </row>
    <row r="505">
      <c r="J505" s="15"/>
      <c r="V505" s="15"/>
      <c r="W505" s="15"/>
    </row>
    <row r="506">
      <c r="J506" s="15"/>
      <c r="V506" s="15"/>
      <c r="W506" s="15"/>
    </row>
    <row r="507">
      <c r="J507" s="15"/>
      <c r="V507" s="15"/>
      <c r="W507" s="15"/>
    </row>
    <row r="508">
      <c r="J508" s="15"/>
      <c r="V508" s="15"/>
      <c r="W508" s="15"/>
    </row>
    <row r="509">
      <c r="J509" s="15"/>
      <c r="V509" s="15"/>
      <c r="W509" s="15"/>
    </row>
    <row r="510">
      <c r="J510" s="15"/>
      <c r="V510" s="15"/>
      <c r="W510" s="15"/>
    </row>
    <row r="511">
      <c r="J511" s="15"/>
      <c r="V511" s="15"/>
      <c r="W511" s="15"/>
    </row>
    <row r="512">
      <c r="J512" s="15"/>
      <c r="V512" s="15"/>
      <c r="W512" s="15"/>
    </row>
    <row r="513">
      <c r="J513" s="15"/>
      <c r="V513" s="15"/>
      <c r="W513" s="15"/>
    </row>
    <row r="514">
      <c r="J514" s="15"/>
      <c r="V514" s="15"/>
      <c r="W514" s="15"/>
    </row>
    <row r="515">
      <c r="J515" s="15"/>
      <c r="V515" s="15"/>
      <c r="W515" s="15"/>
    </row>
    <row r="516">
      <c r="J516" s="15"/>
      <c r="V516" s="15"/>
      <c r="W516" s="15"/>
    </row>
    <row r="517">
      <c r="J517" s="15"/>
      <c r="V517" s="15"/>
      <c r="W517" s="15"/>
    </row>
    <row r="518">
      <c r="J518" s="15"/>
      <c r="V518" s="15"/>
      <c r="W518" s="15"/>
    </row>
    <row r="519">
      <c r="J519" s="15"/>
      <c r="V519" s="15"/>
      <c r="W519" s="15"/>
    </row>
    <row r="520">
      <c r="J520" s="15"/>
      <c r="V520" s="15"/>
      <c r="W520" s="15"/>
    </row>
    <row r="521">
      <c r="J521" s="15"/>
      <c r="V521" s="15"/>
      <c r="W521" s="15"/>
    </row>
    <row r="522">
      <c r="J522" s="15"/>
      <c r="V522" s="15"/>
      <c r="W522" s="15"/>
    </row>
    <row r="523">
      <c r="J523" s="15"/>
      <c r="V523" s="15"/>
      <c r="W523" s="15"/>
    </row>
    <row r="524">
      <c r="J524" s="15"/>
      <c r="V524" s="15"/>
      <c r="W524" s="15"/>
    </row>
    <row r="525">
      <c r="J525" s="15"/>
      <c r="V525" s="15"/>
      <c r="W525" s="15"/>
    </row>
    <row r="526">
      <c r="J526" s="15"/>
      <c r="V526" s="15"/>
      <c r="W526" s="15"/>
    </row>
    <row r="527">
      <c r="J527" s="15"/>
      <c r="V527" s="15"/>
      <c r="W527" s="15"/>
    </row>
    <row r="528">
      <c r="J528" s="15"/>
      <c r="V528" s="15"/>
      <c r="W528" s="15"/>
    </row>
    <row r="529">
      <c r="J529" s="15"/>
      <c r="V529" s="15"/>
      <c r="W529" s="15"/>
    </row>
    <row r="530">
      <c r="J530" s="15"/>
      <c r="V530" s="15"/>
      <c r="W530" s="15"/>
    </row>
    <row r="531">
      <c r="J531" s="15"/>
      <c r="V531" s="15"/>
      <c r="W531" s="15"/>
    </row>
    <row r="532">
      <c r="J532" s="15"/>
      <c r="V532" s="15"/>
      <c r="W532" s="15"/>
    </row>
    <row r="533">
      <c r="J533" s="15"/>
      <c r="V533" s="15"/>
      <c r="W533" s="15"/>
    </row>
    <row r="534">
      <c r="J534" s="15"/>
      <c r="V534" s="15"/>
      <c r="W534" s="15"/>
    </row>
    <row r="535">
      <c r="J535" s="15"/>
      <c r="V535" s="15"/>
      <c r="W535" s="15"/>
    </row>
    <row r="536">
      <c r="J536" s="15"/>
      <c r="V536" s="15"/>
      <c r="W536" s="15"/>
    </row>
    <row r="537">
      <c r="J537" s="15"/>
      <c r="V537" s="15"/>
      <c r="W537" s="15"/>
    </row>
    <row r="538">
      <c r="J538" s="15"/>
      <c r="V538" s="15"/>
      <c r="W538" s="15"/>
    </row>
    <row r="539">
      <c r="J539" s="15"/>
      <c r="V539" s="15"/>
      <c r="W539" s="15"/>
    </row>
    <row r="540">
      <c r="J540" s="15"/>
      <c r="V540" s="15"/>
      <c r="W540" s="15"/>
    </row>
    <row r="541">
      <c r="J541" s="15"/>
      <c r="V541" s="15"/>
      <c r="W541" s="15"/>
    </row>
    <row r="542">
      <c r="J542" s="15"/>
      <c r="V542" s="15"/>
      <c r="W542" s="15"/>
    </row>
    <row r="543">
      <c r="J543" s="15"/>
      <c r="V543" s="15"/>
      <c r="W543" s="15"/>
    </row>
    <row r="544">
      <c r="J544" s="15"/>
      <c r="V544" s="15"/>
      <c r="W544" s="15"/>
    </row>
    <row r="545">
      <c r="J545" s="15"/>
      <c r="V545" s="15"/>
      <c r="W545" s="15"/>
    </row>
    <row r="546">
      <c r="J546" s="15"/>
      <c r="V546" s="15"/>
      <c r="W546" s="15"/>
    </row>
    <row r="547">
      <c r="J547" s="15"/>
      <c r="V547" s="15"/>
      <c r="W547" s="15"/>
    </row>
    <row r="548">
      <c r="J548" s="15"/>
      <c r="V548" s="15"/>
      <c r="W548" s="15"/>
    </row>
    <row r="549">
      <c r="J549" s="15"/>
      <c r="V549" s="15"/>
      <c r="W549" s="15"/>
    </row>
    <row r="550">
      <c r="J550" s="15"/>
      <c r="V550" s="15"/>
      <c r="W550" s="15"/>
    </row>
    <row r="551">
      <c r="J551" s="15"/>
      <c r="V551" s="15"/>
      <c r="W551" s="15"/>
    </row>
    <row r="552">
      <c r="J552" s="15"/>
      <c r="V552" s="15"/>
      <c r="W552" s="15"/>
    </row>
    <row r="553">
      <c r="J553" s="15"/>
      <c r="V553" s="15"/>
      <c r="W553" s="15"/>
    </row>
    <row r="554">
      <c r="J554" s="15"/>
      <c r="V554" s="15"/>
      <c r="W554" s="15"/>
    </row>
    <row r="555">
      <c r="J555" s="15"/>
      <c r="V555" s="15"/>
      <c r="W555" s="15"/>
    </row>
    <row r="556">
      <c r="J556" s="15"/>
      <c r="V556" s="15"/>
      <c r="W556" s="15"/>
    </row>
    <row r="557">
      <c r="J557" s="15"/>
      <c r="V557" s="15"/>
      <c r="W557" s="15"/>
    </row>
    <row r="558">
      <c r="J558" s="15"/>
      <c r="V558" s="15"/>
      <c r="W558" s="15"/>
    </row>
    <row r="559">
      <c r="J559" s="15"/>
      <c r="V559" s="15"/>
      <c r="W559" s="15"/>
    </row>
    <row r="560">
      <c r="J560" s="15"/>
      <c r="V560" s="15"/>
      <c r="W560" s="15"/>
    </row>
    <row r="561">
      <c r="J561" s="15"/>
      <c r="V561" s="15"/>
      <c r="W561" s="15"/>
    </row>
    <row r="562">
      <c r="J562" s="15"/>
      <c r="V562" s="15"/>
      <c r="W562" s="15"/>
    </row>
    <row r="563">
      <c r="J563" s="15"/>
      <c r="V563" s="15"/>
      <c r="W563" s="15"/>
    </row>
    <row r="564">
      <c r="J564" s="15"/>
      <c r="V564" s="15"/>
      <c r="W564" s="15"/>
    </row>
    <row r="565">
      <c r="J565" s="15"/>
      <c r="V565" s="15"/>
      <c r="W565" s="15"/>
    </row>
    <row r="566">
      <c r="J566" s="15"/>
      <c r="V566" s="15"/>
      <c r="W566" s="15"/>
    </row>
    <row r="567">
      <c r="J567" s="15"/>
      <c r="V567" s="15"/>
      <c r="W567" s="15"/>
    </row>
    <row r="568">
      <c r="J568" s="15"/>
      <c r="V568" s="15"/>
      <c r="W568" s="15"/>
    </row>
    <row r="569">
      <c r="J569" s="15"/>
      <c r="V569" s="15"/>
      <c r="W569" s="15"/>
    </row>
    <row r="570">
      <c r="J570" s="15"/>
      <c r="V570" s="15"/>
      <c r="W570" s="15"/>
    </row>
    <row r="571">
      <c r="J571" s="15"/>
      <c r="V571" s="15"/>
      <c r="W571" s="15"/>
    </row>
    <row r="572">
      <c r="J572" s="15"/>
      <c r="V572" s="15"/>
      <c r="W572" s="15"/>
    </row>
    <row r="573">
      <c r="J573" s="15"/>
      <c r="V573" s="15"/>
      <c r="W573" s="15"/>
    </row>
    <row r="574">
      <c r="J574" s="15"/>
      <c r="V574" s="15"/>
      <c r="W574" s="15"/>
    </row>
    <row r="575">
      <c r="J575" s="15"/>
      <c r="V575" s="15"/>
      <c r="W575" s="15"/>
    </row>
    <row r="576">
      <c r="J576" s="15"/>
      <c r="V576" s="15"/>
      <c r="W576" s="15"/>
    </row>
    <row r="577">
      <c r="J577" s="15"/>
      <c r="V577" s="15"/>
      <c r="W577" s="15"/>
    </row>
    <row r="578">
      <c r="J578" s="15"/>
      <c r="V578" s="15"/>
      <c r="W578" s="15"/>
    </row>
    <row r="579">
      <c r="J579" s="15"/>
      <c r="V579" s="15"/>
      <c r="W579" s="15"/>
    </row>
    <row r="580">
      <c r="J580" s="15"/>
      <c r="V580" s="15"/>
      <c r="W580" s="15"/>
    </row>
    <row r="581">
      <c r="J581" s="15"/>
      <c r="V581" s="15"/>
      <c r="W581" s="15"/>
    </row>
    <row r="582">
      <c r="J582" s="15"/>
      <c r="V582" s="15"/>
      <c r="W582" s="15"/>
    </row>
    <row r="583">
      <c r="J583" s="15"/>
      <c r="V583" s="15"/>
      <c r="W583" s="15"/>
    </row>
    <row r="584">
      <c r="J584" s="15"/>
      <c r="V584" s="15"/>
      <c r="W584" s="15"/>
    </row>
    <row r="585">
      <c r="J585" s="15"/>
      <c r="V585" s="15"/>
      <c r="W585" s="15"/>
    </row>
    <row r="586">
      <c r="J586" s="15"/>
      <c r="V586" s="15"/>
      <c r="W586" s="15"/>
    </row>
    <row r="587">
      <c r="J587" s="15"/>
      <c r="V587" s="15"/>
      <c r="W587" s="15"/>
    </row>
    <row r="588">
      <c r="J588" s="15"/>
      <c r="V588" s="15"/>
      <c r="W588" s="15"/>
    </row>
    <row r="589">
      <c r="J589" s="15"/>
      <c r="V589" s="15"/>
      <c r="W589" s="15"/>
    </row>
    <row r="590">
      <c r="J590" s="15"/>
      <c r="V590" s="15"/>
      <c r="W590" s="15"/>
    </row>
    <row r="591">
      <c r="J591" s="15"/>
      <c r="V591" s="15"/>
      <c r="W591" s="15"/>
    </row>
    <row r="592">
      <c r="J592" s="15"/>
      <c r="V592" s="15"/>
      <c r="W592" s="15"/>
    </row>
    <row r="593">
      <c r="J593" s="15"/>
      <c r="V593" s="15"/>
      <c r="W593" s="15"/>
    </row>
    <row r="594">
      <c r="J594" s="15"/>
      <c r="V594" s="15"/>
      <c r="W594" s="15"/>
    </row>
    <row r="595">
      <c r="J595" s="15"/>
      <c r="V595" s="15"/>
      <c r="W595" s="15"/>
    </row>
    <row r="596">
      <c r="J596" s="15"/>
      <c r="V596" s="15"/>
      <c r="W596" s="15"/>
    </row>
    <row r="597">
      <c r="J597" s="15"/>
      <c r="V597" s="15"/>
      <c r="W597" s="15"/>
    </row>
    <row r="598">
      <c r="J598" s="15"/>
      <c r="V598" s="15"/>
      <c r="W598" s="15"/>
    </row>
    <row r="599">
      <c r="J599" s="15"/>
      <c r="V599" s="15"/>
      <c r="W599" s="15"/>
    </row>
    <row r="600">
      <c r="J600" s="15"/>
      <c r="V600" s="15"/>
      <c r="W600" s="15"/>
    </row>
    <row r="601">
      <c r="J601" s="15"/>
      <c r="V601" s="15"/>
      <c r="W601" s="15"/>
    </row>
    <row r="602">
      <c r="J602" s="15"/>
      <c r="V602" s="15"/>
      <c r="W602" s="15"/>
    </row>
    <row r="603">
      <c r="J603" s="15"/>
      <c r="V603" s="15"/>
      <c r="W603" s="15"/>
    </row>
    <row r="604">
      <c r="J604" s="15"/>
      <c r="V604" s="15"/>
      <c r="W604" s="15"/>
    </row>
    <row r="605">
      <c r="J605" s="15"/>
      <c r="V605" s="15"/>
      <c r="W605" s="15"/>
    </row>
    <row r="606">
      <c r="J606" s="15"/>
      <c r="V606" s="15"/>
      <c r="W606" s="15"/>
    </row>
    <row r="607">
      <c r="J607" s="15"/>
      <c r="V607" s="15"/>
      <c r="W607" s="15"/>
    </row>
    <row r="608">
      <c r="J608" s="15"/>
      <c r="V608" s="15"/>
      <c r="W608" s="15"/>
    </row>
    <row r="609">
      <c r="J609" s="15"/>
      <c r="V609" s="15"/>
      <c r="W609" s="15"/>
    </row>
    <row r="610">
      <c r="J610" s="15"/>
      <c r="V610" s="15"/>
      <c r="W610" s="15"/>
    </row>
    <row r="611">
      <c r="J611" s="15"/>
      <c r="V611" s="15"/>
      <c r="W611" s="15"/>
    </row>
    <row r="612">
      <c r="J612" s="15"/>
      <c r="V612" s="15"/>
      <c r="W612" s="15"/>
    </row>
    <row r="613">
      <c r="J613" s="15"/>
      <c r="V613" s="15"/>
      <c r="W613" s="15"/>
    </row>
    <row r="614">
      <c r="J614" s="15"/>
      <c r="V614" s="15"/>
      <c r="W614" s="15"/>
    </row>
    <row r="615">
      <c r="J615" s="15"/>
      <c r="V615" s="15"/>
      <c r="W615" s="15"/>
    </row>
    <row r="616">
      <c r="J616" s="15"/>
      <c r="V616" s="15"/>
      <c r="W616" s="15"/>
    </row>
    <row r="617">
      <c r="J617" s="15"/>
      <c r="V617" s="15"/>
      <c r="W617" s="15"/>
    </row>
    <row r="618">
      <c r="J618" s="15"/>
      <c r="V618" s="15"/>
      <c r="W618" s="15"/>
    </row>
    <row r="619">
      <c r="J619" s="15"/>
      <c r="V619" s="15"/>
      <c r="W619" s="15"/>
    </row>
    <row r="620">
      <c r="J620" s="15"/>
      <c r="V620" s="15"/>
      <c r="W620" s="15"/>
    </row>
    <row r="621">
      <c r="J621" s="15"/>
      <c r="V621" s="15"/>
      <c r="W621" s="15"/>
    </row>
    <row r="622">
      <c r="J622" s="15"/>
      <c r="V622" s="15"/>
      <c r="W622" s="15"/>
    </row>
    <row r="623">
      <c r="J623" s="15"/>
      <c r="V623" s="15"/>
      <c r="W623" s="15"/>
    </row>
    <row r="624">
      <c r="J624" s="15"/>
      <c r="V624" s="15"/>
      <c r="W624" s="15"/>
    </row>
    <row r="625">
      <c r="J625" s="15"/>
      <c r="V625" s="15"/>
      <c r="W625" s="15"/>
    </row>
    <row r="626">
      <c r="J626" s="15"/>
      <c r="V626" s="15"/>
      <c r="W626" s="15"/>
    </row>
    <row r="627">
      <c r="J627" s="15"/>
      <c r="V627" s="15"/>
      <c r="W627" s="15"/>
    </row>
    <row r="628">
      <c r="J628" s="15"/>
      <c r="V628" s="15"/>
      <c r="W628" s="15"/>
    </row>
    <row r="629">
      <c r="J629" s="15"/>
      <c r="V629" s="15"/>
      <c r="W629" s="15"/>
    </row>
    <row r="630">
      <c r="J630" s="15"/>
      <c r="V630" s="15"/>
      <c r="W630" s="15"/>
    </row>
    <row r="631">
      <c r="J631" s="15"/>
      <c r="V631" s="15"/>
      <c r="W631" s="15"/>
    </row>
    <row r="632">
      <c r="J632" s="15"/>
      <c r="V632" s="15"/>
      <c r="W632" s="15"/>
    </row>
    <row r="633">
      <c r="J633" s="15"/>
      <c r="V633" s="15"/>
      <c r="W633" s="15"/>
    </row>
    <row r="634">
      <c r="J634" s="15"/>
      <c r="V634" s="15"/>
      <c r="W634" s="15"/>
    </row>
    <row r="635">
      <c r="J635" s="15"/>
      <c r="V635" s="15"/>
      <c r="W635" s="15"/>
    </row>
    <row r="636">
      <c r="J636" s="15"/>
      <c r="V636" s="15"/>
      <c r="W636" s="15"/>
    </row>
    <row r="637">
      <c r="J637" s="15"/>
      <c r="V637" s="15"/>
      <c r="W637" s="15"/>
    </row>
    <row r="638">
      <c r="J638" s="15"/>
      <c r="V638" s="15"/>
      <c r="W638" s="15"/>
    </row>
    <row r="639">
      <c r="J639" s="15"/>
      <c r="V639" s="15"/>
      <c r="W639" s="15"/>
    </row>
    <row r="640">
      <c r="J640" s="15"/>
      <c r="V640" s="15"/>
      <c r="W640" s="15"/>
    </row>
    <row r="641">
      <c r="J641" s="15"/>
      <c r="V641" s="15"/>
      <c r="W641" s="15"/>
    </row>
    <row r="642">
      <c r="J642" s="15"/>
      <c r="V642" s="15"/>
      <c r="W642" s="15"/>
    </row>
    <row r="643">
      <c r="J643" s="15"/>
      <c r="V643" s="15"/>
      <c r="W643" s="15"/>
    </row>
    <row r="644">
      <c r="J644" s="15"/>
      <c r="V644" s="15"/>
      <c r="W644" s="15"/>
    </row>
    <row r="645">
      <c r="J645" s="15"/>
      <c r="V645" s="15"/>
      <c r="W645" s="15"/>
    </row>
    <row r="646">
      <c r="J646" s="15"/>
      <c r="V646" s="15"/>
      <c r="W646" s="15"/>
    </row>
    <row r="647">
      <c r="J647" s="15"/>
      <c r="V647" s="15"/>
      <c r="W647" s="15"/>
    </row>
    <row r="648">
      <c r="J648" s="15"/>
      <c r="V648" s="15"/>
      <c r="W648" s="15"/>
    </row>
    <row r="649">
      <c r="J649" s="15"/>
      <c r="V649" s="15"/>
      <c r="W649" s="15"/>
    </row>
    <row r="650">
      <c r="J650" s="15"/>
      <c r="V650" s="15"/>
      <c r="W650" s="15"/>
    </row>
    <row r="651">
      <c r="J651" s="15"/>
      <c r="V651" s="15"/>
      <c r="W651" s="15"/>
    </row>
    <row r="652">
      <c r="J652" s="15"/>
      <c r="V652" s="15"/>
      <c r="W652" s="15"/>
    </row>
    <row r="653">
      <c r="J653" s="15"/>
      <c r="V653" s="15"/>
      <c r="W653" s="15"/>
    </row>
    <row r="654">
      <c r="J654" s="15"/>
      <c r="V654" s="15"/>
      <c r="W654" s="15"/>
    </row>
    <row r="655">
      <c r="J655" s="15"/>
      <c r="V655" s="15"/>
      <c r="W655" s="15"/>
    </row>
    <row r="656">
      <c r="J656" s="15"/>
      <c r="V656" s="15"/>
      <c r="W656" s="15"/>
    </row>
    <row r="657">
      <c r="J657" s="15"/>
      <c r="V657" s="15"/>
      <c r="W657" s="15"/>
    </row>
    <row r="658">
      <c r="J658" s="15"/>
      <c r="V658" s="15"/>
      <c r="W658" s="15"/>
    </row>
    <row r="659">
      <c r="J659" s="15"/>
      <c r="V659" s="15"/>
      <c r="W659" s="15"/>
    </row>
    <row r="660">
      <c r="J660" s="15"/>
      <c r="V660" s="15"/>
      <c r="W660" s="15"/>
    </row>
    <row r="661">
      <c r="J661" s="15"/>
      <c r="V661" s="15"/>
      <c r="W661" s="15"/>
    </row>
    <row r="662">
      <c r="J662" s="15"/>
      <c r="V662" s="15"/>
      <c r="W662" s="15"/>
    </row>
    <row r="663">
      <c r="J663" s="15"/>
      <c r="V663" s="15"/>
      <c r="W663" s="15"/>
    </row>
    <row r="664">
      <c r="J664" s="15"/>
      <c r="V664" s="15"/>
      <c r="W664" s="15"/>
    </row>
    <row r="665">
      <c r="J665" s="15"/>
      <c r="V665" s="15"/>
      <c r="W665" s="15"/>
    </row>
    <row r="666">
      <c r="J666" s="15"/>
      <c r="V666" s="15"/>
      <c r="W666" s="15"/>
    </row>
    <row r="667">
      <c r="J667" s="15"/>
      <c r="V667" s="15"/>
      <c r="W667" s="15"/>
    </row>
    <row r="668">
      <c r="J668" s="15"/>
      <c r="V668" s="15"/>
      <c r="W668" s="15"/>
    </row>
    <row r="669">
      <c r="J669" s="15"/>
      <c r="V669" s="15"/>
      <c r="W669" s="15"/>
    </row>
    <row r="670">
      <c r="J670" s="15"/>
      <c r="V670" s="15"/>
      <c r="W670" s="15"/>
    </row>
    <row r="671">
      <c r="J671" s="15"/>
      <c r="V671" s="15"/>
      <c r="W671" s="15"/>
    </row>
    <row r="672">
      <c r="J672" s="15"/>
      <c r="V672" s="15"/>
      <c r="W672" s="15"/>
    </row>
    <row r="673">
      <c r="J673" s="15"/>
      <c r="V673" s="15"/>
      <c r="W673" s="15"/>
    </row>
    <row r="674">
      <c r="J674" s="15"/>
      <c r="V674" s="15"/>
      <c r="W674" s="15"/>
    </row>
    <row r="675">
      <c r="J675" s="15"/>
      <c r="V675" s="15"/>
      <c r="W675" s="15"/>
    </row>
    <row r="676">
      <c r="J676" s="15"/>
      <c r="V676" s="15"/>
      <c r="W676" s="15"/>
    </row>
    <row r="677">
      <c r="J677" s="15"/>
      <c r="V677" s="15"/>
      <c r="W677" s="15"/>
    </row>
    <row r="678">
      <c r="J678" s="15"/>
      <c r="V678" s="15"/>
      <c r="W678" s="15"/>
    </row>
    <row r="679">
      <c r="J679" s="15"/>
      <c r="V679" s="15"/>
      <c r="W679" s="15"/>
    </row>
    <row r="680">
      <c r="J680" s="15"/>
      <c r="V680" s="15"/>
      <c r="W680" s="15"/>
    </row>
    <row r="681">
      <c r="J681" s="15"/>
      <c r="V681" s="15"/>
      <c r="W681" s="15"/>
    </row>
    <row r="682">
      <c r="J682" s="15"/>
      <c r="V682" s="15"/>
      <c r="W682" s="15"/>
    </row>
    <row r="683">
      <c r="J683" s="15"/>
      <c r="V683" s="15"/>
      <c r="W683" s="15"/>
    </row>
    <row r="684">
      <c r="J684" s="15"/>
      <c r="V684" s="15"/>
      <c r="W684" s="15"/>
    </row>
    <row r="685">
      <c r="J685" s="15"/>
      <c r="V685" s="15"/>
      <c r="W685" s="15"/>
    </row>
    <row r="686">
      <c r="J686" s="15"/>
      <c r="V686" s="15"/>
      <c r="W686" s="15"/>
    </row>
    <row r="687">
      <c r="J687" s="15"/>
      <c r="V687" s="15"/>
      <c r="W687" s="15"/>
    </row>
    <row r="688">
      <c r="J688" s="15"/>
      <c r="V688" s="15"/>
      <c r="W688" s="15"/>
    </row>
    <row r="689">
      <c r="J689" s="15"/>
      <c r="V689" s="15"/>
      <c r="W689" s="15"/>
    </row>
    <row r="690">
      <c r="J690" s="15"/>
      <c r="V690" s="15"/>
      <c r="W690" s="15"/>
    </row>
    <row r="691">
      <c r="J691" s="15"/>
      <c r="V691" s="15"/>
      <c r="W691" s="15"/>
    </row>
    <row r="692">
      <c r="J692" s="15"/>
      <c r="V692" s="15"/>
      <c r="W692" s="15"/>
    </row>
    <row r="693">
      <c r="J693" s="15"/>
      <c r="V693" s="15"/>
      <c r="W693" s="15"/>
    </row>
    <row r="694">
      <c r="J694" s="15"/>
      <c r="V694" s="15"/>
      <c r="W694" s="15"/>
    </row>
    <row r="695">
      <c r="J695" s="15"/>
      <c r="V695" s="15"/>
      <c r="W695" s="15"/>
    </row>
    <row r="696">
      <c r="J696" s="15"/>
      <c r="V696" s="15"/>
      <c r="W696" s="15"/>
    </row>
    <row r="697">
      <c r="J697" s="15"/>
      <c r="V697" s="15"/>
      <c r="W697" s="15"/>
    </row>
    <row r="698">
      <c r="J698" s="15"/>
      <c r="V698" s="15"/>
      <c r="W698" s="15"/>
    </row>
    <row r="699">
      <c r="J699" s="15"/>
      <c r="V699" s="15"/>
      <c r="W699" s="15"/>
    </row>
    <row r="700">
      <c r="J700" s="15"/>
      <c r="V700" s="15"/>
      <c r="W700" s="15"/>
    </row>
    <row r="701">
      <c r="J701" s="15"/>
      <c r="V701" s="15"/>
      <c r="W701" s="15"/>
    </row>
    <row r="702">
      <c r="J702" s="15"/>
      <c r="V702" s="15"/>
      <c r="W702" s="15"/>
    </row>
    <row r="703">
      <c r="J703" s="15"/>
      <c r="V703" s="15"/>
      <c r="W703" s="15"/>
    </row>
    <row r="704">
      <c r="J704" s="15"/>
      <c r="V704" s="15"/>
      <c r="W704" s="15"/>
    </row>
    <row r="705">
      <c r="J705" s="15"/>
      <c r="V705" s="15"/>
      <c r="W705" s="15"/>
    </row>
    <row r="706">
      <c r="J706" s="15"/>
      <c r="V706" s="15"/>
      <c r="W706" s="15"/>
    </row>
    <row r="707">
      <c r="J707" s="15"/>
      <c r="V707" s="15"/>
      <c r="W707" s="15"/>
    </row>
    <row r="708">
      <c r="J708" s="15"/>
      <c r="V708" s="15"/>
      <c r="W708" s="15"/>
    </row>
    <row r="709">
      <c r="J709" s="15"/>
      <c r="V709" s="15"/>
      <c r="W709" s="15"/>
    </row>
    <row r="710">
      <c r="J710" s="15"/>
      <c r="V710" s="15"/>
      <c r="W710" s="15"/>
    </row>
    <row r="711">
      <c r="J711" s="15"/>
      <c r="V711" s="15"/>
      <c r="W711" s="15"/>
    </row>
    <row r="712">
      <c r="J712" s="15"/>
      <c r="V712" s="15"/>
      <c r="W712" s="15"/>
    </row>
    <row r="713">
      <c r="J713" s="15"/>
      <c r="V713" s="15"/>
      <c r="W713" s="15"/>
    </row>
    <row r="714">
      <c r="J714" s="15"/>
      <c r="V714" s="15"/>
      <c r="W714" s="15"/>
    </row>
    <row r="715">
      <c r="J715" s="15"/>
      <c r="V715" s="15"/>
      <c r="W715" s="15"/>
    </row>
    <row r="716">
      <c r="J716" s="15"/>
      <c r="V716" s="15"/>
      <c r="W716" s="15"/>
    </row>
    <row r="717">
      <c r="J717" s="15"/>
      <c r="V717" s="15"/>
      <c r="W717" s="15"/>
    </row>
    <row r="718">
      <c r="J718" s="15"/>
      <c r="V718" s="15"/>
      <c r="W718" s="15"/>
    </row>
    <row r="719">
      <c r="J719" s="15"/>
      <c r="V719" s="15"/>
      <c r="W719" s="15"/>
    </row>
    <row r="720">
      <c r="J720" s="15"/>
      <c r="V720" s="15"/>
      <c r="W720" s="15"/>
    </row>
    <row r="721">
      <c r="J721" s="15"/>
      <c r="V721" s="15"/>
      <c r="W721" s="15"/>
    </row>
    <row r="722">
      <c r="J722" s="15"/>
      <c r="V722" s="15"/>
      <c r="W722" s="15"/>
    </row>
    <row r="723">
      <c r="J723" s="15"/>
      <c r="V723" s="15"/>
      <c r="W723" s="15"/>
    </row>
    <row r="724">
      <c r="J724" s="15"/>
      <c r="V724" s="15"/>
      <c r="W724" s="15"/>
    </row>
    <row r="725">
      <c r="J725" s="15"/>
      <c r="V725" s="15"/>
      <c r="W725" s="15"/>
    </row>
    <row r="726">
      <c r="J726" s="15"/>
      <c r="V726" s="15"/>
      <c r="W726" s="15"/>
    </row>
    <row r="727">
      <c r="J727" s="15"/>
      <c r="V727" s="15"/>
      <c r="W727" s="15"/>
    </row>
    <row r="728">
      <c r="J728" s="15"/>
      <c r="V728" s="15"/>
      <c r="W728" s="15"/>
    </row>
    <row r="729">
      <c r="J729" s="15"/>
      <c r="V729" s="15"/>
      <c r="W729" s="15"/>
    </row>
    <row r="730">
      <c r="J730" s="15"/>
      <c r="V730" s="15"/>
      <c r="W730" s="15"/>
    </row>
    <row r="731">
      <c r="J731" s="15"/>
      <c r="V731" s="15"/>
      <c r="W731" s="15"/>
    </row>
    <row r="732">
      <c r="J732" s="15"/>
      <c r="V732" s="15"/>
      <c r="W732" s="15"/>
    </row>
    <row r="733">
      <c r="J733" s="15"/>
      <c r="V733" s="15"/>
      <c r="W733" s="15"/>
    </row>
    <row r="734">
      <c r="J734" s="15"/>
      <c r="V734" s="15"/>
      <c r="W734" s="15"/>
    </row>
    <row r="735">
      <c r="J735" s="15"/>
      <c r="V735" s="15"/>
      <c r="W735" s="15"/>
    </row>
    <row r="736">
      <c r="J736" s="15"/>
      <c r="V736" s="15"/>
      <c r="W736" s="15"/>
    </row>
    <row r="737">
      <c r="J737" s="15"/>
      <c r="V737" s="15"/>
      <c r="W737" s="15"/>
    </row>
    <row r="738">
      <c r="J738" s="15"/>
      <c r="V738" s="15"/>
      <c r="W738" s="15"/>
    </row>
    <row r="739">
      <c r="J739" s="15"/>
      <c r="V739" s="15"/>
      <c r="W739" s="15"/>
    </row>
    <row r="740">
      <c r="J740" s="15"/>
      <c r="V740" s="15"/>
      <c r="W740" s="15"/>
    </row>
    <row r="741">
      <c r="J741" s="15"/>
      <c r="V741" s="15"/>
      <c r="W741" s="15"/>
    </row>
    <row r="742">
      <c r="J742" s="15"/>
      <c r="V742" s="15"/>
      <c r="W742" s="15"/>
    </row>
    <row r="743">
      <c r="J743" s="15"/>
      <c r="V743" s="15"/>
      <c r="W743" s="15"/>
    </row>
    <row r="744">
      <c r="J744" s="15"/>
      <c r="V744" s="15"/>
      <c r="W744" s="15"/>
    </row>
    <row r="745">
      <c r="J745" s="15"/>
      <c r="V745" s="15"/>
      <c r="W745" s="15"/>
    </row>
    <row r="746">
      <c r="J746" s="15"/>
      <c r="V746" s="15"/>
      <c r="W746" s="15"/>
    </row>
    <row r="747">
      <c r="J747" s="15"/>
      <c r="V747" s="15"/>
      <c r="W747" s="15"/>
    </row>
    <row r="748">
      <c r="J748" s="15"/>
      <c r="V748" s="15"/>
      <c r="W748" s="15"/>
    </row>
    <row r="749">
      <c r="J749" s="15"/>
      <c r="V749" s="15"/>
      <c r="W749" s="15"/>
    </row>
    <row r="750">
      <c r="J750" s="15"/>
      <c r="V750" s="15"/>
      <c r="W750" s="15"/>
    </row>
    <row r="751">
      <c r="J751" s="15"/>
      <c r="V751" s="15"/>
      <c r="W751" s="15"/>
    </row>
    <row r="752">
      <c r="J752" s="15"/>
      <c r="V752" s="15"/>
      <c r="W752" s="15"/>
    </row>
    <row r="753">
      <c r="J753" s="15"/>
      <c r="V753" s="15"/>
      <c r="W753" s="15"/>
    </row>
    <row r="754">
      <c r="J754" s="15"/>
      <c r="V754" s="15"/>
      <c r="W754" s="15"/>
    </row>
    <row r="755">
      <c r="J755" s="15"/>
      <c r="V755" s="15"/>
      <c r="W755" s="15"/>
    </row>
    <row r="756">
      <c r="J756" s="15"/>
      <c r="V756" s="15"/>
      <c r="W756" s="15"/>
    </row>
    <row r="757">
      <c r="J757" s="15"/>
      <c r="V757" s="15"/>
      <c r="W757" s="15"/>
    </row>
    <row r="758">
      <c r="J758" s="15"/>
      <c r="V758" s="15"/>
      <c r="W758" s="15"/>
    </row>
    <row r="759">
      <c r="J759" s="15"/>
      <c r="V759" s="15"/>
      <c r="W759" s="15"/>
    </row>
    <row r="760">
      <c r="J760" s="15"/>
      <c r="V760" s="15"/>
      <c r="W760" s="15"/>
    </row>
    <row r="761">
      <c r="J761" s="15"/>
      <c r="V761" s="15"/>
      <c r="W761" s="15"/>
    </row>
    <row r="762">
      <c r="J762" s="15"/>
      <c r="V762" s="15"/>
      <c r="W762" s="15"/>
    </row>
    <row r="763">
      <c r="J763" s="15"/>
      <c r="V763" s="15"/>
      <c r="W763" s="15"/>
    </row>
    <row r="764">
      <c r="J764" s="15"/>
      <c r="V764" s="15"/>
      <c r="W764" s="15"/>
    </row>
    <row r="765">
      <c r="J765" s="15"/>
      <c r="V765" s="15"/>
      <c r="W765" s="15"/>
    </row>
    <row r="766">
      <c r="J766" s="15"/>
      <c r="V766" s="15"/>
      <c r="W766" s="15"/>
    </row>
    <row r="767">
      <c r="J767" s="15"/>
      <c r="V767" s="15"/>
      <c r="W767" s="15"/>
    </row>
    <row r="768">
      <c r="J768" s="15"/>
      <c r="V768" s="15"/>
      <c r="W768" s="15"/>
    </row>
    <row r="769">
      <c r="J769" s="15"/>
      <c r="V769" s="15"/>
      <c r="W769" s="15"/>
    </row>
    <row r="770">
      <c r="J770" s="15"/>
      <c r="V770" s="15"/>
      <c r="W770" s="15"/>
    </row>
    <row r="771">
      <c r="J771" s="15"/>
      <c r="V771" s="15"/>
      <c r="W771" s="15"/>
    </row>
    <row r="772">
      <c r="J772" s="15"/>
      <c r="V772" s="15"/>
      <c r="W772" s="15"/>
    </row>
    <row r="773">
      <c r="J773" s="15"/>
      <c r="V773" s="15"/>
      <c r="W773" s="15"/>
    </row>
    <row r="774">
      <c r="J774" s="15"/>
      <c r="V774" s="15"/>
      <c r="W774" s="15"/>
    </row>
    <row r="775">
      <c r="J775" s="15"/>
      <c r="V775" s="15"/>
      <c r="W775" s="15"/>
    </row>
    <row r="776">
      <c r="J776" s="15"/>
      <c r="V776" s="15"/>
      <c r="W776" s="15"/>
    </row>
    <row r="777">
      <c r="J777" s="15"/>
      <c r="V777" s="15"/>
      <c r="W777" s="15"/>
    </row>
    <row r="778">
      <c r="J778" s="15"/>
      <c r="V778" s="15"/>
      <c r="W778" s="15"/>
    </row>
    <row r="779">
      <c r="J779" s="15"/>
      <c r="V779" s="15"/>
      <c r="W779" s="15"/>
    </row>
    <row r="780">
      <c r="J780" s="15"/>
      <c r="V780" s="15"/>
      <c r="W780" s="15"/>
    </row>
    <row r="781">
      <c r="J781" s="15"/>
      <c r="V781" s="15"/>
      <c r="W781" s="15"/>
    </row>
    <row r="782">
      <c r="J782" s="15"/>
      <c r="V782" s="15"/>
      <c r="W782" s="15"/>
    </row>
    <row r="783">
      <c r="J783" s="15"/>
      <c r="V783" s="15"/>
      <c r="W783" s="15"/>
    </row>
    <row r="784">
      <c r="J784" s="15"/>
      <c r="V784" s="15"/>
      <c r="W784" s="15"/>
    </row>
    <row r="785">
      <c r="J785" s="15"/>
      <c r="V785" s="15"/>
      <c r="W785" s="15"/>
    </row>
    <row r="786">
      <c r="J786" s="15"/>
      <c r="V786" s="15"/>
      <c r="W786" s="15"/>
    </row>
    <row r="787">
      <c r="J787" s="15"/>
      <c r="V787" s="15"/>
      <c r="W787" s="15"/>
    </row>
    <row r="788">
      <c r="J788" s="15"/>
      <c r="V788" s="15"/>
      <c r="W788" s="15"/>
    </row>
    <row r="789">
      <c r="J789" s="15"/>
      <c r="V789" s="15"/>
      <c r="W789" s="15"/>
    </row>
    <row r="790">
      <c r="J790" s="15"/>
      <c r="V790" s="15"/>
      <c r="W790" s="15"/>
    </row>
    <row r="791">
      <c r="J791" s="15"/>
      <c r="V791" s="15"/>
      <c r="W791" s="15"/>
    </row>
    <row r="792">
      <c r="J792" s="15"/>
      <c r="V792" s="15"/>
      <c r="W792" s="15"/>
    </row>
    <row r="793">
      <c r="J793" s="15"/>
      <c r="V793" s="15"/>
      <c r="W793" s="15"/>
    </row>
    <row r="794">
      <c r="J794" s="15"/>
      <c r="V794" s="15"/>
      <c r="W794" s="15"/>
    </row>
    <row r="795">
      <c r="J795" s="15"/>
      <c r="V795" s="15"/>
      <c r="W795" s="15"/>
    </row>
    <row r="796">
      <c r="J796" s="15"/>
      <c r="V796" s="15"/>
      <c r="W796" s="15"/>
    </row>
    <row r="797">
      <c r="J797" s="15"/>
      <c r="V797" s="15"/>
      <c r="W797" s="15"/>
    </row>
    <row r="798">
      <c r="J798" s="15"/>
      <c r="V798" s="15"/>
      <c r="W798" s="15"/>
    </row>
    <row r="799">
      <c r="J799" s="15"/>
      <c r="V799" s="15"/>
      <c r="W799" s="15"/>
    </row>
    <row r="800">
      <c r="J800" s="15"/>
      <c r="V800" s="15"/>
      <c r="W800" s="15"/>
    </row>
    <row r="801">
      <c r="J801" s="15"/>
      <c r="V801" s="15"/>
      <c r="W801" s="15"/>
    </row>
    <row r="802">
      <c r="J802" s="15"/>
      <c r="V802" s="15"/>
      <c r="W802" s="15"/>
    </row>
    <row r="803">
      <c r="J803" s="15"/>
      <c r="V803" s="15"/>
      <c r="W803" s="15"/>
    </row>
    <row r="804">
      <c r="J804" s="15"/>
      <c r="V804" s="15"/>
      <c r="W804" s="15"/>
    </row>
    <row r="805">
      <c r="J805" s="15"/>
      <c r="V805" s="15"/>
      <c r="W805" s="15"/>
    </row>
    <row r="806">
      <c r="J806" s="15"/>
      <c r="V806" s="15"/>
      <c r="W806" s="15"/>
    </row>
    <row r="807">
      <c r="J807" s="15"/>
      <c r="V807" s="15"/>
      <c r="W807" s="15"/>
    </row>
    <row r="808">
      <c r="J808" s="15"/>
      <c r="V808" s="15"/>
      <c r="W808" s="15"/>
    </row>
    <row r="809">
      <c r="J809" s="15"/>
      <c r="V809" s="15"/>
      <c r="W809" s="15"/>
    </row>
    <row r="810">
      <c r="J810" s="15"/>
      <c r="V810" s="15"/>
      <c r="W810" s="15"/>
    </row>
    <row r="811">
      <c r="J811" s="15"/>
      <c r="V811" s="15"/>
      <c r="W811" s="15"/>
    </row>
    <row r="812">
      <c r="J812" s="15"/>
      <c r="V812" s="15"/>
      <c r="W812" s="15"/>
    </row>
    <row r="813">
      <c r="J813" s="15"/>
      <c r="V813" s="15"/>
      <c r="W813" s="15"/>
    </row>
    <row r="814">
      <c r="J814" s="15"/>
      <c r="V814" s="15"/>
      <c r="W814" s="15"/>
    </row>
    <row r="815">
      <c r="J815" s="15"/>
      <c r="V815" s="15"/>
      <c r="W815" s="15"/>
    </row>
    <row r="816">
      <c r="J816" s="15"/>
      <c r="V816" s="15"/>
      <c r="W816" s="15"/>
    </row>
    <row r="817">
      <c r="J817" s="15"/>
      <c r="V817" s="15"/>
      <c r="W817" s="15"/>
    </row>
    <row r="818">
      <c r="J818" s="15"/>
      <c r="V818" s="15"/>
      <c r="W818" s="15"/>
    </row>
    <row r="819">
      <c r="J819" s="15"/>
      <c r="V819" s="15"/>
      <c r="W819" s="15"/>
    </row>
    <row r="820">
      <c r="J820" s="15"/>
      <c r="V820" s="15"/>
      <c r="W820" s="15"/>
    </row>
    <row r="821">
      <c r="J821" s="15"/>
      <c r="V821" s="15"/>
      <c r="W821" s="15"/>
    </row>
    <row r="822">
      <c r="J822" s="15"/>
      <c r="V822" s="15"/>
      <c r="W822" s="15"/>
    </row>
    <row r="823">
      <c r="J823" s="15"/>
      <c r="V823" s="15"/>
      <c r="W823" s="15"/>
    </row>
    <row r="824">
      <c r="J824" s="15"/>
      <c r="V824" s="15"/>
      <c r="W824" s="15"/>
    </row>
    <row r="825">
      <c r="J825" s="15"/>
      <c r="V825" s="15"/>
      <c r="W825" s="15"/>
    </row>
    <row r="826">
      <c r="J826" s="15"/>
      <c r="V826" s="15"/>
      <c r="W826" s="15"/>
    </row>
    <row r="827">
      <c r="J827" s="15"/>
      <c r="V827" s="15"/>
      <c r="W827" s="15"/>
    </row>
    <row r="828">
      <c r="J828" s="15"/>
      <c r="V828" s="15"/>
      <c r="W828" s="15"/>
    </row>
    <row r="829">
      <c r="J829" s="15"/>
      <c r="V829" s="15"/>
      <c r="W829" s="15"/>
    </row>
    <row r="830">
      <c r="J830" s="15"/>
      <c r="V830" s="15"/>
      <c r="W830" s="15"/>
    </row>
    <row r="831">
      <c r="J831" s="15"/>
      <c r="V831" s="15"/>
      <c r="W831" s="15"/>
    </row>
    <row r="832">
      <c r="J832" s="15"/>
      <c r="V832" s="15"/>
      <c r="W832" s="15"/>
    </row>
    <row r="833">
      <c r="J833" s="15"/>
      <c r="V833" s="15"/>
      <c r="W833" s="15"/>
    </row>
    <row r="834">
      <c r="J834" s="15"/>
      <c r="V834" s="15"/>
      <c r="W834" s="15"/>
    </row>
    <row r="835">
      <c r="J835" s="15"/>
      <c r="V835" s="15"/>
      <c r="W835" s="15"/>
    </row>
    <row r="836">
      <c r="J836" s="15"/>
      <c r="V836" s="15"/>
      <c r="W836" s="15"/>
    </row>
    <row r="837">
      <c r="J837" s="15"/>
      <c r="V837" s="15"/>
      <c r="W837" s="15"/>
    </row>
    <row r="838">
      <c r="J838" s="15"/>
      <c r="V838" s="15"/>
      <c r="W838" s="15"/>
    </row>
    <row r="839">
      <c r="J839" s="15"/>
      <c r="V839" s="15"/>
      <c r="W839" s="15"/>
    </row>
    <row r="840">
      <c r="J840" s="15"/>
      <c r="V840" s="15"/>
      <c r="W840" s="15"/>
    </row>
    <row r="841">
      <c r="J841" s="15"/>
      <c r="V841" s="15"/>
      <c r="W841" s="15"/>
    </row>
    <row r="842">
      <c r="J842" s="15"/>
      <c r="V842" s="15"/>
      <c r="W842" s="15"/>
    </row>
    <row r="843">
      <c r="J843" s="15"/>
      <c r="V843" s="15"/>
      <c r="W843" s="15"/>
    </row>
    <row r="844">
      <c r="J844" s="15"/>
      <c r="V844" s="15"/>
      <c r="W844" s="15"/>
    </row>
    <row r="845">
      <c r="J845" s="15"/>
      <c r="V845" s="15"/>
      <c r="W845" s="15"/>
    </row>
    <row r="846">
      <c r="J846" s="15"/>
      <c r="V846" s="15"/>
      <c r="W846" s="15"/>
    </row>
    <row r="847">
      <c r="J847" s="15"/>
      <c r="V847" s="15"/>
      <c r="W847" s="15"/>
    </row>
    <row r="848">
      <c r="J848" s="15"/>
      <c r="V848" s="15"/>
      <c r="W848" s="15"/>
    </row>
    <row r="849">
      <c r="J849" s="15"/>
      <c r="V849" s="15"/>
      <c r="W849" s="15"/>
    </row>
    <row r="850">
      <c r="J850" s="15"/>
      <c r="V850" s="15"/>
      <c r="W850" s="15"/>
    </row>
    <row r="851">
      <c r="J851" s="15"/>
      <c r="V851" s="15"/>
      <c r="W851" s="15"/>
    </row>
    <row r="852">
      <c r="J852" s="15"/>
      <c r="V852" s="15"/>
      <c r="W852" s="15"/>
    </row>
    <row r="853">
      <c r="J853" s="15"/>
      <c r="V853" s="15"/>
      <c r="W853" s="15"/>
    </row>
    <row r="854">
      <c r="J854" s="15"/>
      <c r="V854" s="15"/>
      <c r="W854" s="15"/>
    </row>
    <row r="855">
      <c r="J855" s="15"/>
      <c r="V855" s="15"/>
      <c r="W855" s="15"/>
    </row>
    <row r="856">
      <c r="J856" s="15"/>
      <c r="V856" s="15"/>
      <c r="W856" s="15"/>
    </row>
    <row r="857">
      <c r="J857" s="15"/>
      <c r="V857" s="15"/>
      <c r="W857" s="15"/>
    </row>
    <row r="858">
      <c r="J858" s="15"/>
      <c r="V858" s="15"/>
      <c r="W858" s="15"/>
    </row>
    <row r="859">
      <c r="J859" s="15"/>
      <c r="V859" s="15"/>
      <c r="W859" s="15"/>
    </row>
    <row r="860">
      <c r="J860" s="15"/>
      <c r="V860" s="15"/>
      <c r="W860" s="15"/>
    </row>
    <row r="861">
      <c r="J861" s="15"/>
      <c r="V861" s="15"/>
      <c r="W861" s="15"/>
    </row>
    <row r="862">
      <c r="J862" s="15"/>
      <c r="V862" s="15"/>
      <c r="W862" s="15"/>
    </row>
    <row r="863">
      <c r="J863" s="15"/>
      <c r="V863" s="15"/>
      <c r="W863" s="15"/>
    </row>
    <row r="864">
      <c r="J864" s="15"/>
      <c r="V864" s="15"/>
      <c r="W864" s="15"/>
    </row>
    <row r="865">
      <c r="J865" s="15"/>
      <c r="V865" s="15"/>
      <c r="W865" s="15"/>
    </row>
    <row r="866">
      <c r="J866" s="15"/>
      <c r="V866" s="15"/>
      <c r="W866" s="15"/>
    </row>
    <row r="867">
      <c r="J867" s="15"/>
      <c r="V867" s="15"/>
      <c r="W867" s="15"/>
    </row>
    <row r="868">
      <c r="J868" s="15"/>
      <c r="V868" s="15"/>
      <c r="W868" s="15"/>
    </row>
    <row r="869">
      <c r="J869" s="15"/>
      <c r="V869" s="15"/>
      <c r="W869" s="15"/>
    </row>
    <row r="870">
      <c r="J870" s="15"/>
      <c r="V870" s="15"/>
      <c r="W870" s="15"/>
    </row>
    <row r="871">
      <c r="J871" s="15"/>
      <c r="V871" s="15"/>
      <c r="W871" s="15"/>
    </row>
    <row r="872">
      <c r="J872" s="15"/>
      <c r="V872" s="15"/>
      <c r="W872" s="15"/>
    </row>
    <row r="873">
      <c r="J873" s="15"/>
      <c r="V873" s="15"/>
      <c r="W873" s="15"/>
    </row>
    <row r="874">
      <c r="J874" s="15"/>
      <c r="V874" s="15"/>
      <c r="W874" s="15"/>
    </row>
    <row r="875">
      <c r="J875" s="15"/>
      <c r="V875" s="15"/>
      <c r="W875" s="15"/>
    </row>
    <row r="876">
      <c r="J876" s="15"/>
      <c r="V876" s="15"/>
      <c r="W876" s="15"/>
    </row>
    <row r="877">
      <c r="J877" s="15"/>
      <c r="V877" s="15"/>
      <c r="W877" s="15"/>
    </row>
    <row r="878">
      <c r="J878" s="15"/>
      <c r="V878" s="15"/>
      <c r="W878" s="15"/>
    </row>
    <row r="879">
      <c r="J879" s="15"/>
      <c r="V879" s="15"/>
      <c r="W879" s="15"/>
    </row>
    <row r="880">
      <c r="J880" s="15"/>
      <c r="V880" s="15"/>
      <c r="W880" s="15"/>
    </row>
    <row r="881">
      <c r="J881" s="15"/>
      <c r="V881" s="15"/>
      <c r="W881" s="15"/>
    </row>
    <row r="882">
      <c r="J882" s="15"/>
      <c r="V882" s="15"/>
      <c r="W882" s="15"/>
    </row>
    <row r="883">
      <c r="J883" s="15"/>
      <c r="V883" s="15"/>
      <c r="W883" s="15"/>
    </row>
    <row r="884">
      <c r="J884" s="15"/>
      <c r="V884" s="15"/>
      <c r="W884" s="15"/>
    </row>
    <row r="885">
      <c r="J885" s="15"/>
      <c r="V885" s="15"/>
      <c r="W885" s="15"/>
    </row>
    <row r="886">
      <c r="J886" s="15"/>
      <c r="V886" s="15"/>
      <c r="W886" s="15"/>
    </row>
    <row r="887">
      <c r="J887" s="15"/>
      <c r="V887" s="15"/>
      <c r="W887" s="15"/>
    </row>
    <row r="888">
      <c r="J888" s="15"/>
      <c r="V888" s="15"/>
      <c r="W888" s="15"/>
    </row>
    <row r="889">
      <c r="J889" s="15"/>
      <c r="V889" s="15"/>
      <c r="W889" s="15"/>
    </row>
    <row r="890">
      <c r="J890" s="15"/>
      <c r="V890" s="15"/>
      <c r="W890" s="15"/>
    </row>
    <row r="891">
      <c r="J891" s="15"/>
      <c r="V891" s="15"/>
      <c r="W891" s="15"/>
    </row>
    <row r="892">
      <c r="J892" s="15"/>
      <c r="V892" s="15"/>
      <c r="W892" s="15"/>
    </row>
    <row r="893">
      <c r="J893" s="15"/>
      <c r="V893" s="15"/>
      <c r="W893" s="15"/>
    </row>
    <row r="894">
      <c r="J894" s="15"/>
      <c r="V894" s="15"/>
      <c r="W894" s="15"/>
    </row>
    <row r="895">
      <c r="J895" s="15"/>
      <c r="V895" s="15"/>
      <c r="W895" s="15"/>
    </row>
    <row r="896">
      <c r="J896" s="15"/>
      <c r="V896" s="15"/>
      <c r="W896" s="15"/>
    </row>
    <row r="897">
      <c r="J897" s="15"/>
      <c r="V897" s="15"/>
      <c r="W897" s="15"/>
    </row>
    <row r="898">
      <c r="J898" s="15"/>
      <c r="V898" s="15"/>
      <c r="W898" s="15"/>
    </row>
    <row r="899">
      <c r="J899" s="15"/>
      <c r="V899" s="15"/>
      <c r="W899" s="15"/>
    </row>
    <row r="900">
      <c r="J900" s="15"/>
      <c r="V900" s="15"/>
      <c r="W900" s="15"/>
    </row>
    <row r="901">
      <c r="J901" s="15"/>
      <c r="V901" s="15"/>
      <c r="W901" s="15"/>
    </row>
    <row r="902">
      <c r="J902" s="15"/>
      <c r="V902" s="15"/>
      <c r="W902" s="15"/>
    </row>
    <row r="903">
      <c r="J903" s="15"/>
      <c r="V903" s="15"/>
      <c r="W903" s="15"/>
    </row>
    <row r="904">
      <c r="J904" s="15"/>
      <c r="V904" s="15"/>
      <c r="W904" s="15"/>
    </row>
    <row r="905">
      <c r="J905" s="15"/>
      <c r="V905" s="15"/>
      <c r="W905" s="15"/>
    </row>
    <row r="906">
      <c r="J906" s="15"/>
      <c r="V906" s="15"/>
      <c r="W906" s="15"/>
    </row>
    <row r="907">
      <c r="J907" s="15"/>
      <c r="V907" s="15"/>
      <c r="W907" s="15"/>
    </row>
    <row r="908">
      <c r="J908" s="15"/>
      <c r="V908" s="15"/>
      <c r="W908" s="15"/>
    </row>
    <row r="909">
      <c r="J909" s="15"/>
      <c r="V909" s="15"/>
      <c r="W909" s="15"/>
    </row>
    <row r="910">
      <c r="J910" s="15"/>
      <c r="V910" s="15"/>
      <c r="W910" s="15"/>
    </row>
    <row r="911">
      <c r="J911" s="15"/>
      <c r="V911" s="15"/>
      <c r="W911" s="15"/>
    </row>
    <row r="912">
      <c r="J912" s="15"/>
      <c r="V912" s="15"/>
      <c r="W912" s="15"/>
    </row>
    <row r="913">
      <c r="J913" s="15"/>
      <c r="V913" s="15"/>
      <c r="W913" s="15"/>
    </row>
    <row r="914">
      <c r="J914" s="15"/>
      <c r="V914" s="15"/>
      <c r="W914" s="15"/>
    </row>
    <row r="915">
      <c r="J915" s="15"/>
      <c r="V915" s="15"/>
      <c r="W915" s="15"/>
    </row>
    <row r="916">
      <c r="J916" s="15"/>
      <c r="V916" s="15"/>
      <c r="W916" s="15"/>
    </row>
    <row r="917">
      <c r="J917" s="15"/>
      <c r="V917" s="15"/>
      <c r="W917" s="15"/>
    </row>
    <row r="918">
      <c r="J918" s="15"/>
      <c r="V918" s="15"/>
      <c r="W918" s="15"/>
    </row>
    <row r="919">
      <c r="J919" s="15"/>
      <c r="V919" s="15"/>
      <c r="W919" s="15"/>
    </row>
    <row r="920">
      <c r="J920" s="15"/>
      <c r="V920" s="15"/>
      <c r="W920" s="15"/>
    </row>
    <row r="921">
      <c r="J921" s="15"/>
      <c r="V921" s="15"/>
      <c r="W921" s="15"/>
    </row>
    <row r="922">
      <c r="J922" s="15"/>
      <c r="V922" s="15"/>
      <c r="W922" s="15"/>
    </row>
    <row r="923">
      <c r="J923" s="15"/>
      <c r="V923" s="15"/>
      <c r="W923" s="15"/>
    </row>
    <row r="924">
      <c r="J924" s="15"/>
      <c r="V924" s="15"/>
      <c r="W924" s="15"/>
    </row>
    <row r="925">
      <c r="J925" s="15"/>
      <c r="V925" s="15"/>
      <c r="W925" s="15"/>
    </row>
    <row r="926">
      <c r="J926" s="15"/>
      <c r="V926" s="15"/>
      <c r="W926" s="15"/>
    </row>
    <row r="927">
      <c r="J927" s="15"/>
      <c r="V927" s="15"/>
      <c r="W927" s="15"/>
    </row>
    <row r="928">
      <c r="J928" s="15"/>
      <c r="V928" s="15"/>
      <c r="W928" s="15"/>
    </row>
    <row r="929">
      <c r="J929" s="15"/>
      <c r="V929" s="15"/>
      <c r="W929" s="15"/>
    </row>
    <row r="930">
      <c r="J930" s="15"/>
      <c r="V930" s="15"/>
      <c r="W930" s="15"/>
    </row>
    <row r="931">
      <c r="J931" s="15"/>
      <c r="V931" s="15"/>
      <c r="W931" s="15"/>
    </row>
    <row r="932">
      <c r="J932" s="15"/>
      <c r="V932" s="15"/>
      <c r="W932" s="15"/>
    </row>
    <row r="933">
      <c r="J933" s="15"/>
      <c r="V933" s="15"/>
      <c r="W933" s="15"/>
    </row>
    <row r="934">
      <c r="J934" s="15"/>
      <c r="V934" s="15"/>
      <c r="W934" s="15"/>
    </row>
    <row r="935">
      <c r="J935" s="15"/>
      <c r="V935" s="15"/>
      <c r="W935" s="15"/>
    </row>
    <row r="936">
      <c r="J936" s="15"/>
      <c r="V936" s="15"/>
      <c r="W936" s="15"/>
    </row>
    <row r="937">
      <c r="J937" s="15"/>
      <c r="V937" s="15"/>
      <c r="W937" s="15"/>
    </row>
    <row r="938">
      <c r="J938" s="15"/>
      <c r="V938" s="15"/>
      <c r="W938" s="15"/>
    </row>
    <row r="939">
      <c r="J939" s="15"/>
      <c r="V939" s="15"/>
      <c r="W939" s="15"/>
    </row>
    <row r="940">
      <c r="J940" s="15"/>
      <c r="V940" s="15"/>
      <c r="W940" s="15"/>
    </row>
    <row r="941">
      <c r="J941" s="15"/>
      <c r="V941" s="15"/>
      <c r="W941" s="15"/>
    </row>
    <row r="942">
      <c r="J942" s="15"/>
      <c r="V942" s="15"/>
      <c r="W942" s="15"/>
    </row>
    <row r="943">
      <c r="J943" s="15"/>
      <c r="V943" s="15"/>
      <c r="W943" s="15"/>
    </row>
    <row r="944">
      <c r="J944" s="15"/>
      <c r="V944" s="15"/>
      <c r="W944" s="15"/>
    </row>
    <row r="945">
      <c r="J945" s="15"/>
      <c r="V945" s="15"/>
      <c r="W945" s="15"/>
    </row>
    <row r="946">
      <c r="J946" s="15"/>
      <c r="V946" s="15"/>
      <c r="W946" s="15"/>
    </row>
    <row r="947">
      <c r="J947" s="15"/>
      <c r="V947" s="15"/>
      <c r="W947" s="15"/>
    </row>
    <row r="948">
      <c r="J948" s="15"/>
      <c r="V948" s="15"/>
      <c r="W948" s="15"/>
    </row>
    <row r="949">
      <c r="J949" s="15"/>
      <c r="V949" s="15"/>
      <c r="W949" s="15"/>
    </row>
    <row r="950">
      <c r="J950" s="15"/>
      <c r="V950" s="15"/>
      <c r="W950" s="15"/>
    </row>
    <row r="951">
      <c r="J951" s="15"/>
      <c r="V951" s="15"/>
      <c r="W951" s="15"/>
    </row>
    <row r="952">
      <c r="J952" s="15"/>
      <c r="V952" s="15"/>
      <c r="W952" s="15"/>
    </row>
    <row r="953">
      <c r="J953" s="15"/>
      <c r="V953" s="15"/>
      <c r="W953" s="15"/>
    </row>
    <row r="954">
      <c r="J954" s="15"/>
      <c r="V954" s="15"/>
      <c r="W954" s="15"/>
    </row>
    <row r="955">
      <c r="J955" s="15"/>
      <c r="V955" s="15"/>
      <c r="W955" s="15"/>
    </row>
    <row r="956">
      <c r="J956" s="15"/>
      <c r="V956" s="15"/>
      <c r="W956" s="15"/>
    </row>
    <row r="957">
      <c r="J957" s="15"/>
      <c r="V957" s="15"/>
      <c r="W957" s="15"/>
    </row>
    <row r="958">
      <c r="J958" s="15"/>
      <c r="V958" s="15"/>
      <c r="W958" s="15"/>
    </row>
    <row r="959">
      <c r="J959" s="15"/>
      <c r="V959" s="15"/>
      <c r="W959" s="15"/>
    </row>
    <row r="960">
      <c r="J960" s="15"/>
      <c r="V960" s="15"/>
      <c r="W960" s="15"/>
    </row>
    <row r="961">
      <c r="J961" s="15"/>
      <c r="V961" s="15"/>
      <c r="W961" s="15"/>
    </row>
    <row r="962">
      <c r="J962" s="15"/>
      <c r="V962" s="15"/>
      <c r="W962" s="15"/>
    </row>
    <row r="963">
      <c r="J963" s="15"/>
      <c r="V963" s="15"/>
      <c r="W963" s="15"/>
    </row>
    <row r="964">
      <c r="J964" s="15"/>
      <c r="V964" s="15"/>
      <c r="W964" s="15"/>
    </row>
    <row r="965">
      <c r="J965" s="15"/>
      <c r="V965" s="15"/>
      <c r="W965" s="15"/>
    </row>
    <row r="966">
      <c r="J966" s="15"/>
      <c r="V966" s="15"/>
      <c r="W966" s="15"/>
    </row>
    <row r="967">
      <c r="J967" s="15"/>
      <c r="V967" s="15"/>
      <c r="W967" s="15"/>
    </row>
    <row r="968">
      <c r="J968" s="15"/>
      <c r="V968" s="15"/>
      <c r="W968" s="15"/>
    </row>
    <row r="969">
      <c r="J969" s="15"/>
      <c r="V969" s="15"/>
      <c r="W969" s="15"/>
    </row>
    <row r="970">
      <c r="J970" s="15"/>
      <c r="V970" s="15"/>
      <c r="W970" s="15"/>
    </row>
    <row r="971">
      <c r="J971" s="15"/>
      <c r="V971" s="15"/>
      <c r="W971" s="15"/>
    </row>
    <row r="972">
      <c r="J972" s="15"/>
      <c r="V972" s="15"/>
      <c r="W972" s="15"/>
    </row>
    <row r="973">
      <c r="J973" s="15"/>
      <c r="V973" s="15"/>
      <c r="W973" s="15"/>
    </row>
    <row r="974">
      <c r="J974" s="15"/>
      <c r="V974" s="15"/>
      <c r="W974" s="15"/>
    </row>
    <row r="975">
      <c r="J975" s="15"/>
      <c r="V975" s="15"/>
      <c r="W975" s="15"/>
    </row>
    <row r="976">
      <c r="J976" s="15"/>
      <c r="V976" s="15"/>
      <c r="W976" s="15"/>
    </row>
    <row r="977">
      <c r="J977" s="15"/>
      <c r="V977" s="15"/>
      <c r="W977" s="15"/>
    </row>
    <row r="978">
      <c r="J978" s="15"/>
      <c r="V978" s="15"/>
      <c r="W978" s="15"/>
    </row>
    <row r="979">
      <c r="J979" s="15"/>
      <c r="V979" s="15"/>
      <c r="W979" s="15"/>
    </row>
    <row r="980">
      <c r="J980" s="15"/>
      <c r="V980" s="15"/>
      <c r="W980" s="15"/>
    </row>
    <row r="981">
      <c r="J981" s="15"/>
      <c r="V981" s="15"/>
      <c r="W981" s="15"/>
    </row>
    <row r="982">
      <c r="J982" s="15"/>
      <c r="V982" s="15"/>
      <c r="W982" s="15"/>
    </row>
    <row r="983">
      <c r="J983" s="15"/>
      <c r="V983" s="15"/>
      <c r="W983" s="15"/>
    </row>
    <row r="984">
      <c r="J984" s="15"/>
      <c r="V984" s="15"/>
      <c r="W984" s="15"/>
    </row>
    <row r="985">
      <c r="J985" s="15"/>
      <c r="V985" s="15"/>
      <c r="W985" s="15"/>
    </row>
    <row r="986">
      <c r="J986" s="15"/>
      <c r="V986" s="15"/>
      <c r="W986" s="15"/>
    </row>
    <row r="987">
      <c r="J987" s="15"/>
      <c r="V987" s="15"/>
      <c r="W987" s="15"/>
    </row>
    <row r="988">
      <c r="J988" s="15"/>
      <c r="V988" s="15"/>
      <c r="W988" s="15"/>
    </row>
    <row r="989">
      <c r="J989" s="15"/>
      <c r="V989" s="15"/>
      <c r="W989" s="15"/>
    </row>
    <row r="990">
      <c r="J990" s="15"/>
      <c r="V990" s="15"/>
      <c r="W990" s="15"/>
    </row>
    <row r="991">
      <c r="J991" s="15"/>
      <c r="V991" s="15"/>
      <c r="W991" s="15"/>
    </row>
    <row r="992">
      <c r="J992" s="15"/>
      <c r="V992" s="15"/>
      <c r="W992" s="15"/>
    </row>
    <row r="993">
      <c r="J993" s="15"/>
      <c r="V993" s="15"/>
      <c r="W993" s="15"/>
    </row>
    <row r="994">
      <c r="J994" s="15"/>
      <c r="V994" s="15"/>
      <c r="W994" s="15"/>
    </row>
    <row r="995">
      <c r="J995" s="15"/>
      <c r="V995" s="15"/>
      <c r="W995" s="15"/>
    </row>
    <row r="996">
      <c r="J996" s="15"/>
      <c r="V996" s="15"/>
      <c r="W996" s="15"/>
    </row>
    <row r="997">
      <c r="J997" s="15"/>
      <c r="V997" s="15"/>
      <c r="W997" s="15"/>
    </row>
    <row r="998">
      <c r="J998" s="15"/>
      <c r="V998" s="15"/>
      <c r="W998" s="15"/>
    </row>
    <row r="999">
      <c r="J999" s="15"/>
      <c r="V999" s="15"/>
      <c r="W999" s="15"/>
    </row>
    <row r="1000">
      <c r="J1000" s="15"/>
      <c r="V1000" s="15"/>
      <c r="W1000" s="15"/>
    </row>
    <row r="1001">
      <c r="J1001" s="15"/>
      <c r="V1001" s="15"/>
      <c r="W1001" s="15"/>
    </row>
    <row r="1002">
      <c r="J1002" s="15"/>
      <c r="V1002" s="15"/>
      <c r="W1002" s="15"/>
    </row>
  </sheetData>
  <autoFilter ref="$B$6:$J$37"/>
  <mergeCells count="4">
    <mergeCell ref="B2:C2"/>
    <mergeCell ref="L6:O6"/>
    <mergeCell ref="Q6:R6"/>
    <mergeCell ref="T6:X6"/>
  </mergeCells>
  <conditionalFormatting sqref="G7:G37">
    <cfRule type="colorScale" priority="1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C6:C37">
    <cfRule type="colorScale" priority="2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U8:U13">
    <cfRule type="cellIs" dxfId="0" priority="3" operator="lessThanOrEqual">
      <formula>MEDIAN($C$7:$C$37)</formula>
    </cfRule>
  </conditionalFormatting>
  <conditionalFormatting sqref="U8:U13">
    <cfRule type="cellIs" dxfId="1" priority="4" operator="greaterThan">
      <formula>MEDIAN($C$7:$C$37)</formula>
    </cfRule>
  </conditionalFormatting>
  <conditionalFormatting sqref="R9">
    <cfRule type="cellIs" dxfId="0" priority="5" operator="lessThanOrEqual">
      <formula>COUNT($B:$B) - (#REF! + #REF!)</formula>
    </cfRule>
  </conditionalFormatting>
  <conditionalFormatting sqref="R9">
    <cfRule type="cellIs" dxfId="1" priority="6" operator="greaterThan">
      <formula>COUNT($B:$B) - (#REF! + #REF!)</formula>
    </cfRule>
  </conditionalFormatting>
  <conditionalFormatting sqref="J7:J37">
    <cfRule type="cellIs" dxfId="0" priority="7" operator="equal">
      <formula>"Sim"</formula>
    </cfRule>
  </conditionalFormatting>
  <conditionalFormatting sqref="J7:J37">
    <cfRule type="cellIs" dxfId="1" priority="8" operator="equal">
      <formula>"Não"</formula>
    </cfRule>
  </conditionalFormatting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13"/>
    <col customWidth="1" min="2" max="2" width="12.63"/>
    <col customWidth="1" min="3" max="3" width="10.88"/>
    <col customWidth="1" min="4" max="4" width="11.5"/>
    <col customWidth="1" min="5" max="6" width="8.38"/>
    <col customWidth="1" min="7" max="7" width="11.13"/>
    <col customWidth="1" min="8" max="9" width="10.0"/>
    <col customWidth="1" min="10" max="10" width="9.5"/>
    <col customWidth="1" min="11" max="11" width="1.5"/>
    <col customWidth="1" min="12" max="12" width="11.88"/>
    <col customWidth="1" min="13" max="13" width="10.25"/>
    <col customWidth="1" min="14" max="14" width="5.13"/>
    <col customWidth="1" min="15" max="15" width="10.13"/>
    <col customWidth="1" min="16" max="16" width="1.5"/>
    <col customWidth="1" min="17" max="17" width="14.38"/>
    <col customWidth="1" min="18" max="18" width="10.88"/>
    <col customWidth="1" min="19" max="19" width="1.38"/>
    <col customWidth="1" min="20" max="20" width="9.25"/>
    <col customWidth="1" min="21" max="21" width="9.13"/>
    <col customWidth="1" min="22" max="22" width="4.63"/>
    <col customWidth="1" min="23" max="23" width="8.38"/>
    <col customWidth="1" min="24" max="24" width="7.75"/>
    <col customWidth="1" min="25" max="25" width="2.63"/>
  </cols>
  <sheetData>
    <row r="1">
      <c r="J1" s="15"/>
      <c r="V1" s="15"/>
      <c r="W1" s="15"/>
    </row>
    <row r="2" ht="22.5" customHeight="1">
      <c r="B2" s="68" t="s">
        <v>40</v>
      </c>
      <c r="C2" s="27"/>
      <c r="J2" s="15"/>
      <c r="V2" s="15"/>
      <c r="W2" s="15"/>
    </row>
    <row r="3">
      <c r="B3" s="69" t="s">
        <v>41</v>
      </c>
      <c r="C3" s="70">
        <v>52.0</v>
      </c>
      <c r="J3" s="15"/>
      <c r="V3" s="15"/>
      <c r="W3" s="15"/>
    </row>
    <row r="4">
      <c r="B4" s="69" t="s">
        <v>42</v>
      </c>
      <c r="C4" s="71">
        <v>5000.0</v>
      </c>
      <c r="J4" s="15"/>
      <c r="V4" s="15"/>
      <c r="W4" s="15"/>
    </row>
    <row r="5">
      <c r="C5" s="1"/>
      <c r="J5" s="15"/>
      <c r="V5" s="15"/>
      <c r="W5" s="15"/>
    </row>
    <row r="6" ht="35.25" customHeight="1">
      <c r="A6" s="72"/>
      <c r="B6" s="73" t="s">
        <v>25</v>
      </c>
      <c r="C6" s="73" t="s">
        <v>43</v>
      </c>
      <c r="D6" s="73" t="s">
        <v>44</v>
      </c>
      <c r="E6" s="73" t="s">
        <v>45</v>
      </c>
      <c r="F6" s="73" t="s">
        <v>46</v>
      </c>
      <c r="G6" s="73" t="s">
        <v>47</v>
      </c>
      <c r="H6" s="73" t="s">
        <v>48</v>
      </c>
      <c r="I6" s="73" t="s">
        <v>49</v>
      </c>
      <c r="J6" s="73" t="s">
        <v>50</v>
      </c>
      <c r="L6" s="74" t="s">
        <v>51</v>
      </c>
      <c r="M6" s="26"/>
      <c r="N6" s="26"/>
      <c r="O6" s="27"/>
      <c r="Q6" s="74" t="s">
        <v>52</v>
      </c>
      <c r="R6" s="27"/>
      <c r="S6" s="72"/>
      <c r="T6" s="72"/>
    </row>
    <row r="7">
      <c r="A7" s="39"/>
      <c r="B7" s="39">
        <v>46054.0</v>
      </c>
      <c r="C7" s="75">
        <v>40295.0</v>
      </c>
      <c r="D7" s="75">
        <v>0.0</v>
      </c>
      <c r="E7" s="75">
        <f> 1360418 + 453357 + 1201815</f>
        <v>3015590</v>
      </c>
      <c r="F7" s="75">
        <v>1003000.0</v>
      </c>
      <c r="G7" s="56">
        <f t="shared" ref="G7:G34" si="1">IF(SUM(D7:F7) = 0, , (SUM(D7:F7)))</f>
        <v>4018590</v>
      </c>
      <c r="H7" s="76">
        <f t="shared" ref="H7:H34" si="2">IFERROR(G7/C7, )</f>
        <v>99.7292468</v>
      </c>
      <c r="I7" s="77">
        <f t="shared" ref="I7:I34" si="3">IFERROR(H7/25 * ($C$3/10), )</f>
        <v>20.74368334</v>
      </c>
      <c r="J7" s="41" t="str">
        <f t="shared" ref="J7:J34" si="4">IF(B7 &gt; TODAY(), "", IF(G7 = "", "Não", "Sim"))
</f>
        <v>Sim</v>
      </c>
      <c r="L7" s="78"/>
      <c r="M7" s="79" t="s">
        <v>53</v>
      </c>
      <c r="N7" s="80" t="s">
        <v>54</v>
      </c>
      <c r="O7" s="81" t="s">
        <v>55</v>
      </c>
      <c r="Q7" s="82"/>
      <c r="R7" s="69" t="s">
        <v>56</v>
      </c>
      <c r="T7" s="2"/>
      <c r="U7" s="2"/>
      <c r="V7" s="2"/>
      <c r="W7" s="2"/>
      <c r="X7" s="83"/>
      <c r="Y7" s="2"/>
    </row>
    <row r="8">
      <c r="A8" s="39"/>
      <c r="B8" s="39">
        <v>46055.0</v>
      </c>
      <c r="C8" s="75">
        <v>40280.0</v>
      </c>
      <c r="D8" s="75">
        <f> 2674389 + 2368712</f>
        <v>5043101</v>
      </c>
      <c r="E8" s="75">
        <f> 312122 + 390948 + 1250283 + 22470 + 767303 + 116161</f>
        <v>2859287</v>
      </c>
      <c r="F8" s="75">
        <v>0.0</v>
      </c>
      <c r="G8" s="56">
        <f t="shared" si="1"/>
        <v>7902388</v>
      </c>
      <c r="H8" s="76">
        <f t="shared" si="2"/>
        <v>196.1863952</v>
      </c>
      <c r="I8" s="77">
        <f t="shared" si="3"/>
        <v>40.80677021</v>
      </c>
      <c r="J8" s="41" t="str">
        <f t="shared" si="4"/>
        <v>Sim</v>
      </c>
      <c r="L8" s="84" t="s">
        <v>0</v>
      </c>
      <c r="M8" s="85">
        <f> IFERROR(MEDIAN(C7:C999), )</f>
        <v>39997</v>
      </c>
      <c r="N8" s="86"/>
      <c r="O8" s="87"/>
      <c r="P8" s="88"/>
      <c r="Q8" s="89" t="s">
        <v>57</v>
      </c>
      <c r="R8" s="17">
        <f>Count(B:B)</f>
        <v>28</v>
      </c>
      <c r="T8" s="90"/>
      <c r="U8" s="91"/>
      <c r="V8" s="2"/>
      <c r="W8" s="91"/>
      <c r="X8" s="92"/>
      <c r="Y8" s="56"/>
    </row>
    <row r="9">
      <c r="A9" s="39"/>
      <c r="B9" s="39">
        <v>46056.0</v>
      </c>
      <c r="C9" s="75">
        <v>39600.0</v>
      </c>
      <c r="D9" s="75">
        <f> 1506430 + 1765197 + 241039 + 1986028</f>
        <v>5498694</v>
      </c>
      <c r="E9" s="75">
        <f> 578311 + 230504 + 1201934</f>
        <v>2010749</v>
      </c>
      <c r="F9" s="75">
        <v>0.0</v>
      </c>
      <c r="G9" s="56">
        <f t="shared" si="1"/>
        <v>7509443</v>
      </c>
      <c r="H9" s="76">
        <f t="shared" si="2"/>
        <v>189.632399</v>
      </c>
      <c r="I9" s="77">
        <f t="shared" si="3"/>
        <v>39.44353899</v>
      </c>
      <c r="J9" s="41" t="str">
        <f t="shared" si="4"/>
        <v>Sim</v>
      </c>
      <c r="L9" s="89" t="s">
        <v>2</v>
      </c>
      <c r="M9" s="56">
        <f t="shared" ref="M9:N9" si="5"> IFERROR(MEDIAN(G7:G999), )</f>
        <v>7936121</v>
      </c>
      <c r="N9" s="56">
        <f t="shared" si="5"/>
        <v>202.193023</v>
      </c>
      <c r="O9" s="93">
        <f> IFERROR($N$9 * ($C$3/10)  / 25, )</f>
        <v>42.05614878</v>
      </c>
      <c r="P9" s="88"/>
      <c r="Q9" s="89" t="s">
        <v>58</v>
      </c>
      <c r="R9" s="17">
        <f>COUNTIF(J:J, "=Sim")</f>
        <v>28</v>
      </c>
      <c r="T9" s="90"/>
      <c r="U9" s="91"/>
      <c r="V9" s="2"/>
      <c r="W9" s="91"/>
      <c r="X9" s="92"/>
      <c r="Y9" s="56"/>
    </row>
    <row r="10">
      <c r="A10" s="39"/>
      <c r="B10" s="39">
        <v>46057.0</v>
      </c>
      <c r="C10" s="75">
        <v>40267.0</v>
      </c>
      <c r="D10" s="75">
        <f> 2249023 + 2128596 + 1754379</f>
        <v>6131998</v>
      </c>
      <c r="E10" s="75">
        <f> 447856 + 251698 + 499735 + 825812</f>
        <v>2025101</v>
      </c>
      <c r="F10" s="75">
        <f> 1300001</f>
        <v>1300001</v>
      </c>
      <c r="G10" s="56">
        <f t="shared" si="1"/>
        <v>9457100</v>
      </c>
      <c r="H10" s="76">
        <f t="shared" si="2"/>
        <v>234.8598108</v>
      </c>
      <c r="I10" s="77">
        <f t="shared" si="3"/>
        <v>48.85084064</v>
      </c>
      <c r="J10" s="41" t="str">
        <f t="shared" si="4"/>
        <v>Sim</v>
      </c>
      <c r="L10" s="89" t="s">
        <v>59</v>
      </c>
      <c r="M10" s="94">
        <f>IFERROR(SUM(G7:G999), )</f>
        <v>216933187</v>
      </c>
      <c r="N10" s="95">
        <f> IFERROR($M$10 / $M$8, )</f>
        <v>5423.736455</v>
      </c>
      <c r="O10" s="93">
        <f> IFERROR($N$10 * ($C$3/10)  / 25, )</f>
        <v>1128.137183</v>
      </c>
      <c r="P10" s="88"/>
      <c r="Q10" s="89" t="s">
        <v>60</v>
      </c>
      <c r="R10" s="96">
        <f>IFERROR(M12/M9, )</f>
        <v>-2.13557568</v>
      </c>
      <c r="T10" s="90"/>
      <c r="U10" s="91"/>
      <c r="V10" s="2"/>
      <c r="W10" s="91"/>
      <c r="X10" s="92"/>
      <c r="Y10" s="56"/>
    </row>
    <row r="11">
      <c r="A11" s="39"/>
      <c r="B11" s="39">
        <v>46058.0</v>
      </c>
      <c r="C11" s="75">
        <v>40280.0</v>
      </c>
      <c r="D11" s="75">
        <f> 1527491 + 1930428 + 231970 + 1339895</f>
        <v>5029784</v>
      </c>
      <c r="E11" s="75">
        <f> 538058 + 199448 + 1289065</f>
        <v>2026571</v>
      </c>
      <c r="F11" s="75">
        <v>0.0</v>
      </c>
      <c r="G11" s="56">
        <f t="shared" si="1"/>
        <v>7056355</v>
      </c>
      <c r="H11" s="76">
        <f t="shared" si="2"/>
        <v>175.1825968</v>
      </c>
      <c r="I11" s="77">
        <f t="shared" si="3"/>
        <v>36.43798014</v>
      </c>
      <c r="J11" s="41" t="str">
        <f t="shared" si="4"/>
        <v>Sim</v>
      </c>
      <c r="L11" s="89" t="s">
        <v>61</v>
      </c>
      <c r="M11" s="75">
        <f> IFERROR($N$11 * $M$8, )</f>
        <v>199985000</v>
      </c>
      <c r="N11" s="98">
        <f> IFERROR($C$4, )</f>
        <v>5000</v>
      </c>
      <c r="O11" s="93">
        <f> IFERROR($N$11 * ($C$3/10)  / 25,"")</f>
        <v>1040</v>
      </c>
      <c r="Q11" s="89" t="s">
        <v>62</v>
      </c>
      <c r="R11" s="17">
        <f>COUNTIF($J:$J, "=Não")</f>
        <v>0</v>
      </c>
      <c r="T11" s="90"/>
      <c r="U11" s="91"/>
      <c r="V11" s="2"/>
      <c r="W11" s="91"/>
      <c r="X11" s="92"/>
      <c r="Y11" s="56"/>
    </row>
    <row r="12">
      <c r="A12" s="39"/>
      <c r="B12" s="39">
        <v>46059.0</v>
      </c>
      <c r="C12" s="75">
        <v>40239.0</v>
      </c>
      <c r="D12" s="75">
        <f> 1655133 + 333912 + 1304621 + 1810221</f>
        <v>5103887</v>
      </c>
      <c r="E12" s="56">
        <f> 473491 + 391340 + 314099</f>
        <v>1178930</v>
      </c>
      <c r="F12" s="75">
        <v>0.0</v>
      </c>
      <c r="G12" s="56">
        <f t="shared" si="1"/>
        <v>6282817</v>
      </c>
      <c r="H12" s="76">
        <f t="shared" si="2"/>
        <v>156.1375034</v>
      </c>
      <c r="I12" s="77">
        <f t="shared" si="3"/>
        <v>32.47660071</v>
      </c>
      <c r="J12" s="41" t="str">
        <f t="shared" si="4"/>
        <v>Sim</v>
      </c>
      <c r="L12" s="89" t="s">
        <v>63</v>
      </c>
      <c r="M12" s="56">
        <f> IFERROR($M$11 - $M$10, )</f>
        <v>-16948187</v>
      </c>
      <c r="N12" s="56">
        <f>N11 - N10</f>
        <v>-423.7364552</v>
      </c>
      <c r="O12" s="93">
        <f> IFERROR($N$12 * ($C$3/10)  / 25, )</f>
        <v>-88.13718269</v>
      </c>
      <c r="Q12" s="89" t="s">
        <v>64</v>
      </c>
      <c r="R12" s="96">
        <f>R8 - R9 - R10</f>
        <v>2.13557568</v>
      </c>
      <c r="T12" s="90"/>
      <c r="U12" s="91"/>
      <c r="V12" s="2"/>
      <c r="W12" s="91"/>
      <c r="X12" s="92"/>
      <c r="Y12" s="56"/>
    </row>
    <row r="13">
      <c r="A13" s="39"/>
      <c r="B13" s="39">
        <v>46060.0</v>
      </c>
      <c r="C13" s="75">
        <v>40236.0</v>
      </c>
      <c r="D13" s="75">
        <f> 2077003 + 277899 + 2068134 + 1556443 + 229224</f>
        <v>6208703</v>
      </c>
      <c r="E13" s="75">
        <v>0.0</v>
      </c>
      <c r="F13" s="75">
        <v>0.0</v>
      </c>
      <c r="G13" s="56">
        <f t="shared" si="1"/>
        <v>6208703</v>
      </c>
      <c r="H13" s="76">
        <f t="shared" si="2"/>
        <v>154.3071627</v>
      </c>
      <c r="I13" s="77">
        <f t="shared" si="3"/>
        <v>32.09588985</v>
      </c>
      <c r="J13" s="41" t="str">
        <f t="shared" si="4"/>
        <v>Sim</v>
      </c>
      <c r="L13" s="99"/>
      <c r="M13" s="100"/>
      <c r="N13" s="100"/>
      <c r="O13" s="101"/>
      <c r="Q13" s="99" t="s">
        <v>7</v>
      </c>
      <c r="R13" s="23" t="str">
        <f>IF(M10 &gt;= M11, "🔵 Concluído", IF((R8-R9)-R10-R11&gt;=2, "🟢 Seguro", IF((R8-R9)-R10-R11&gt;=0, "🟡 Atenção", "🔴 Risco")))</f>
        <v>🔵 Concluído</v>
      </c>
      <c r="T13" s="90"/>
      <c r="U13" s="91"/>
      <c r="V13" s="2"/>
      <c r="W13" s="91"/>
      <c r="X13" s="92"/>
      <c r="Y13" s="56"/>
    </row>
    <row r="14">
      <c r="A14" s="39"/>
      <c r="B14" s="39">
        <v>46061.0</v>
      </c>
      <c r="C14" s="75">
        <v>40220.0</v>
      </c>
      <c r="D14" s="75">
        <f> 1796174 + 1797803 + 1900163</f>
        <v>5494140</v>
      </c>
      <c r="E14" s="75">
        <f> 386656 + 414192</f>
        <v>800848</v>
      </c>
      <c r="F14" s="75">
        <v>0.0</v>
      </c>
      <c r="G14" s="56">
        <f t="shared" si="1"/>
        <v>6294988</v>
      </c>
      <c r="H14" s="76">
        <f t="shared" si="2"/>
        <v>156.5138737</v>
      </c>
      <c r="I14" s="77">
        <f t="shared" si="3"/>
        <v>32.55488573</v>
      </c>
      <c r="J14" s="41" t="str">
        <f t="shared" si="4"/>
        <v>Sim</v>
      </c>
      <c r="L14" s="1"/>
      <c r="M14" s="1"/>
      <c r="N14" s="1"/>
      <c r="O14" s="1"/>
      <c r="Q14" s="1"/>
      <c r="R14" s="15"/>
      <c r="V14" s="15"/>
      <c r="W14" s="15"/>
      <c r="Y14" s="56"/>
    </row>
    <row r="15">
      <c r="A15" s="39"/>
      <c r="B15" s="39">
        <v>46062.0</v>
      </c>
      <c r="C15" s="75">
        <v>39999.0</v>
      </c>
      <c r="D15" s="75">
        <f> 1678855 + 1355761 + 273377 + 640345 + 3414423</f>
        <v>7362761</v>
      </c>
      <c r="E15" s="75">
        <f> 279215 + 1244147 + 516595</f>
        <v>2039957</v>
      </c>
      <c r="F15" s="75">
        <v>0.0</v>
      </c>
      <c r="G15" s="56">
        <f t="shared" si="1"/>
        <v>9402718</v>
      </c>
      <c r="H15" s="76">
        <f t="shared" si="2"/>
        <v>235.0738268</v>
      </c>
      <c r="I15" s="77">
        <f t="shared" si="3"/>
        <v>48.89535598</v>
      </c>
      <c r="J15" s="41" t="str">
        <f t="shared" si="4"/>
        <v>Sim</v>
      </c>
      <c r="L15" s="1"/>
      <c r="V15" s="15"/>
      <c r="W15" s="15"/>
    </row>
    <row r="16">
      <c r="A16" s="39"/>
      <c r="B16" s="39">
        <v>46063.0</v>
      </c>
      <c r="C16" s="75">
        <v>40190.0</v>
      </c>
      <c r="D16" s="75">
        <f> 2249677 + 1511530 + 1736185 + 431197 + 214963</f>
        <v>6143552</v>
      </c>
      <c r="E16" s="75">
        <f> 514567 + 445515 + 614622</f>
        <v>1574704</v>
      </c>
      <c r="F16" s="75">
        <v>0.0</v>
      </c>
      <c r="G16" s="56">
        <f t="shared" si="1"/>
        <v>7718256</v>
      </c>
      <c r="H16" s="76">
        <f t="shared" si="2"/>
        <v>192.0441901</v>
      </c>
      <c r="I16" s="77">
        <f t="shared" si="3"/>
        <v>39.94519154</v>
      </c>
      <c r="J16" s="41" t="str">
        <f t="shared" si="4"/>
        <v>Sim</v>
      </c>
      <c r="N16" s="102"/>
      <c r="V16" s="15"/>
      <c r="W16" s="15"/>
    </row>
    <row r="17">
      <c r="A17" s="39"/>
      <c r="B17" s="39">
        <v>46064.0</v>
      </c>
      <c r="C17" s="75">
        <v>39999.0</v>
      </c>
      <c r="D17" s="75">
        <f> 1666022 + 1687145 + 200451 + 2163428 + 139273</f>
        <v>5856319</v>
      </c>
      <c r="E17" s="75">
        <f> 2014817 + 994511</f>
        <v>3009328</v>
      </c>
      <c r="F17" s="75">
        <v>0.0</v>
      </c>
      <c r="G17" s="56">
        <f t="shared" si="1"/>
        <v>8865647</v>
      </c>
      <c r="H17" s="76">
        <f t="shared" si="2"/>
        <v>221.6467162</v>
      </c>
      <c r="I17" s="77">
        <f t="shared" si="3"/>
        <v>46.10251696</v>
      </c>
      <c r="J17" s="41" t="str">
        <f t="shared" si="4"/>
        <v>Sim</v>
      </c>
      <c r="V17" s="15"/>
      <c r="W17" s="15"/>
    </row>
    <row r="18">
      <c r="A18" s="39"/>
      <c r="B18" s="39">
        <v>46065.0</v>
      </c>
      <c r="C18" s="75">
        <v>39970.0</v>
      </c>
      <c r="D18" s="75">
        <f> 2578230 + 1802960 + 179580 + 1638831</f>
        <v>6199601</v>
      </c>
      <c r="E18" s="56">
        <f> 1692802 + 1321926</f>
        <v>3014728</v>
      </c>
      <c r="F18" s="75">
        <v>0.0</v>
      </c>
      <c r="G18" s="56">
        <f t="shared" si="1"/>
        <v>9214329</v>
      </c>
      <c r="H18" s="76">
        <f t="shared" si="2"/>
        <v>230.5311233</v>
      </c>
      <c r="I18" s="77">
        <f t="shared" si="3"/>
        <v>47.95047366</v>
      </c>
      <c r="J18" s="41" t="str">
        <f t="shared" si="4"/>
        <v>Sim</v>
      </c>
      <c r="V18" s="15"/>
      <c r="W18" s="15"/>
    </row>
    <row r="19">
      <c r="A19" s="39"/>
      <c r="B19" s="39">
        <v>46066.0</v>
      </c>
      <c r="C19" s="75">
        <v>40281.0</v>
      </c>
      <c r="D19" s="75">
        <f> 2237671 + 314431 + 1480663 + 193427 + 1998383</f>
        <v>6224575</v>
      </c>
      <c r="E19" s="75">
        <f> 1725086 + 1315733 + 90539</f>
        <v>3131358</v>
      </c>
      <c r="F19" s="75">
        <v>0.0</v>
      </c>
      <c r="G19" s="56">
        <f t="shared" si="1"/>
        <v>9355933</v>
      </c>
      <c r="H19" s="76">
        <f t="shared" si="2"/>
        <v>232.2666518</v>
      </c>
      <c r="I19" s="77">
        <f t="shared" si="3"/>
        <v>48.31146357</v>
      </c>
      <c r="J19" s="41" t="str">
        <f t="shared" si="4"/>
        <v>Sim</v>
      </c>
      <c r="V19" s="15"/>
      <c r="W19" s="15"/>
    </row>
    <row r="20">
      <c r="A20" s="39"/>
      <c r="B20" s="39">
        <v>46067.0</v>
      </c>
      <c r="C20" s="75">
        <v>40281.0</v>
      </c>
      <c r="D20" s="75">
        <f> 2172110 + 1483320 + 1515393</f>
        <v>5170823</v>
      </c>
      <c r="E20" s="56">
        <f> 1507885 + 447451 + 1074387</f>
        <v>3029723</v>
      </c>
      <c r="F20" s="75">
        <v>0.0</v>
      </c>
      <c r="G20" s="56">
        <f t="shared" si="1"/>
        <v>8200546</v>
      </c>
      <c r="H20" s="76">
        <f t="shared" si="2"/>
        <v>203.5834761</v>
      </c>
      <c r="I20" s="77">
        <f t="shared" si="3"/>
        <v>42.34536302</v>
      </c>
      <c r="J20" s="41" t="str">
        <f t="shared" si="4"/>
        <v>Sim</v>
      </c>
      <c r="V20" s="15"/>
      <c r="W20" s="15"/>
    </row>
    <row r="21">
      <c r="A21" s="39"/>
      <c r="B21" s="39">
        <v>46068.0</v>
      </c>
      <c r="C21" s="75">
        <v>40161.0</v>
      </c>
      <c r="D21" s="75">
        <f> 62442 + 12000 + 87027</f>
        <v>161469</v>
      </c>
      <c r="E21" s="56">
        <f> 1810182 + 1218495 + 63916</f>
        <v>3092593</v>
      </c>
      <c r="F21" s="75">
        <v>2000000.0</v>
      </c>
      <c r="G21" s="56">
        <f t="shared" si="1"/>
        <v>5254062</v>
      </c>
      <c r="H21" s="76">
        <f t="shared" si="2"/>
        <v>130.8249795</v>
      </c>
      <c r="I21" s="77">
        <f t="shared" si="3"/>
        <v>27.21159573</v>
      </c>
      <c r="J21" s="41" t="str">
        <f t="shared" si="4"/>
        <v>Sim</v>
      </c>
      <c r="V21" s="15"/>
      <c r="W21" s="15"/>
    </row>
    <row r="22">
      <c r="A22" s="39"/>
      <c r="B22" s="39">
        <v>46069.0</v>
      </c>
      <c r="C22" s="75">
        <v>40135.0</v>
      </c>
      <c r="D22" s="75">
        <f> 2372893 + 2385960 + 298891 + 1216199 + 285827</f>
        <v>6559770</v>
      </c>
      <c r="E22" s="75">
        <f> 1629537 + 1386818 + 378064 + 532517</f>
        <v>3926936</v>
      </c>
      <c r="F22" s="75">
        <v>0.0</v>
      </c>
      <c r="G22" s="56">
        <f t="shared" si="1"/>
        <v>10486706</v>
      </c>
      <c r="H22" s="76">
        <f t="shared" si="2"/>
        <v>261.2858104</v>
      </c>
      <c r="I22" s="77">
        <f t="shared" si="3"/>
        <v>54.34744856</v>
      </c>
      <c r="J22" s="41" t="str">
        <f t="shared" si="4"/>
        <v>Sim</v>
      </c>
      <c r="V22" s="15"/>
      <c r="W22" s="15"/>
    </row>
    <row r="23">
      <c r="A23" s="39"/>
      <c r="B23" s="39">
        <v>46070.0</v>
      </c>
      <c r="C23" s="75">
        <v>39898.0</v>
      </c>
      <c r="D23" s="75">
        <f> 2213556 + 2339062 + 1500000</f>
        <v>6052618</v>
      </c>
      <c r="E23" s="56">
        <f> 1493583 + 1539703</f>
        <v>3033286</v>
      </c>
      <c r="F23" s="75">
        <v>0.0</v>
      </c>
      <c r="G23" s="56">
        <f t="shared" si="1"/>
        <v>9085904</v>
      </c>
      <c r="H23" s="76">
        <f t="shared" si="2"/>
        <v>227.7283072</v>
      </c>
      <c r="I23" s="77">
        <f t="shared" si="3"/>
        <v>47.36748789</v>
      </c>
      <c r="J23" s="41" t="str">
        <f t="shared" si="4"/>
        <v>Sim</v>
      </c>
      <c r="V23" s="15"/>
      <c r="W23" s="15"/>
    </row>
    <row r="24">
      <c r="A24" s="39"/>
      <c r="B24" s="39">
        <v>46071.0</v>
      </c>
      <c r="C24" s="75">
        <v>39895.0</v>
      </c>
      <c r="D24" s="75">
        <f> 2155715 + 1998684 + 1335007</f>
        <v>5489406</v>
      </c>
      <c r="E24" s="75">
        <f> 1588340 + 1472595</f>
        <v>3060935</v>
      </c>
      <c r="F24" s="75">
        <v>0.0</v>
      </c>
      <c r="G24" s="56">
        <f t="shared" si="1"/>
        <v>8550341</v>
      </c>
      <c r="H24" s="76">
        <f t="shared" si="2"/>
        <v>214.3211179</v>
      </c>
      <c r="I24" s="77">
        <f t="shared" si="3"/>
        <v>44.57879253</v>
      </c>
      <c r="J24" s="41" t="str">
        <f t="shared" si="4"/>
        <v>Sim</v>
      </c>
      <c r="N24" s="1"/>
      <c r="V24" s="15"/>
      <c r="W24" s="15"/>
    </row>
    <row r="25">
      <c r="A25" s="39"/>
      <c r="B25" s="39">
        <v>46072.0</v>
      </c>
      <c r="C25" s="75">
        <v>39995.0</v>
      </c>
      <c r="D25" s="75">
        <f> 1836107 + 2613065 + 2086138 + 289143</f>
        <v>6824453</v>
      </c>
      <c r="E25" s="75">
        <f> 2114541 + 889622</f>
        <v>3004163</v>
      </c>
      <c r="F25" s="75">
        <v>0.0</v>
      </c>
      <c r="G25" s="56">
        <f t="shared" si="1"/>
        <v>9828616</v>
      </c>
      <c r="H25" s="76">
        <f t="shared" si="2"/>
        <v>245.7461183</v>
      </c>
      <c r="I25" s="77">
        <f t="shared" si="3"/>
        <v>51.1151926</v>
      </c>
      <c r="J25" s="41" t="str">
        <f t="shared" si="4"/>
        <v>Sim</v>
      </c>
      <c r="V25" s="15"/>
      <c r="W25" s="15"/>
    </row>
    <row r="26">
      <c r="A26" s="39"/>
      <c r="B26" s="39">
        <v>46073.0</v>
      </c>
      <c r="C26" s="75">
        <v>39955.0</v>
      </c>
      <c r="D26" s="75">
        <f> 1998072 + 2133998 + 1492185</f>
        <v>5624255</v>
      </c>
      <c r="E26" s="56">
        <f> 2130880 + 875187 + 120724</f>
        <v>3126791</v>
      </c>
      <c r="F26" s="75">
        <v>0.0</v>
      </c>
      <c r="G26" s="56">
        <f t="shared" si="1"/>
        <v>8751046</v>
      </c>
      <c r="H26" s="76">
        <f t="shared" si="2"/>
        <v>219.0225504</v>
      </c>
      <c r="I26" s="77">
        <f t="shared" si="3"/>
        <v>45.55669048</v>
      </c>
      <c r="J26" s="41" t="str">
        <f t="shared" si="4"/>
        <v>Sim</v>
      </c>
      <c r="V26" s="15"/>
      <c r="W26" s="15"/>
    </row>
    <row r="27">
      <c r="A27" s="39"/>
      <c r="B27" s="39">
        <v>46074.0</v>
      </c>
      <c r="C27" s="75">
        <v>39690.0</v>
      </c>
      <c r="D27" s="75">
        <f> 1189090 + 2062134 + 1243442</f>
        <v>4494666</v>
      </c>
      <c r="E27" s="75">
        <f> 2168972 + 1306216</f>
        <v>3475188</v>
      </c>
      <c r="F27" s="75">
        <v>0.0</v>
      </c>
      <c r="G27" s="56">
        <f t="shared" si="1"/>
        <v>7969854</v>
      </c>
      <c r="H27" s="76">
        <f t="shared" si="2"/>
        <v>200.8025699</v>
      </c>
      <c r="I27" s="77">
        <f t="shared" si="3"/>
        <v>41.76693454</v>
      </c>
      <c r="J27" s="41" t="str">
        <f t="shared" si="4"/>
        <v>Sim</v>
      </c>
      <c r="V27" s="15"/>
      <c r="W27" s="15"/>
    </row>
    <row r="28">
      <c r="A28" s="39"/>
      <c r="B28" s="39">
        <v>46075.0</v>
      </c>
      <c r="C28" s="75">
        <v>39520.0</v>
      </c>
      <c r="D28" s="75">
        <v>0.0</v>
      </c>
      <c r="E28" s="75">
        <f> 1866887 + 1202571</f>
        <v>3069458</v>
      </c>
      <c r="F28" s="75">
        <v>0.0</v>
      </c>
      <c r="G28" s="56">
        <f t="shared" si="1"/>
        <v>3069458</v>
      </c>
      <c r="H28" s="104">
        <f t="shared" si="2"/>
        <v>77.66847166</v>
      </c>
      <c r="I28" s="77">
        <f t="shared" si="3"/>
        <v>16.15504211</v>
      </c>
      <c r="J28" s="41" t="str">
        <f t="shared" si="4"/>
        <v>Sim</v>
      </c>
      <c r="N28" s="1"/>
      <c r="V28" s="15"/>
      <c r="W28" s="15"/>
    </row>
    <row r="29">
      <c r="A29" s="39"/>
      <c r="B29" s="39">
        <v>46076.0</v>
      </c>
      <c r="C29" s="75">
        <v>39388.0</v>
      </c>
      <c r="D29" s="75">
        <f> 1698307 + 1695121 + 1633477</f>
        <v>5026905</v>
      </c>
      <c r="E29" s="75">
        <f> 1876609 + 1132191</f>
        <v>3008800</v>
      </c>
      <c r="F29" s="75">
        <v>0.0</v>
      </c>
      <c r="G29" s="56">
        <f t="shared" si="1"/>
        <v>8035705</v>
      </c>
      <c r="H29" s="104">
        <f t="shared" si="2"/>
        <v>204.0140398</v>
      </c>
      <c r="I29" s="77">
        <f t="shared" si="3"/>
        <v>42.43492028</v>
      </c>
      <c r="J29" s="41" t="str">
        <f t="shared" si="4"/>
        <v>Sim</v>
      </c>
      <c r="V29" s="15"/>
      <c r="W29" s="15"/>
    </row>
    <row r="30">
      <c r="A30" s="39"/>
      <c r="B30" s="39">
        <v>46077.0</v>
      </c>
      <c r="C30" s="75">
        <v>38785.0</v>
      </c>
      <c r="D30" s="75">
        <f> 1647994 + 1601641 + 481118</f>
        <v>3730753</v>
      </c>
      <c r="E30" s="75">
        <f> 200000 + 772593 + 1041591 + 991773</f>
        <v>3005957</v>
      </c>
      <c r="F30" s="75">
        <v>0.0</v>
      </c>
      <c r="G30" s="56">
        <f t="shared" si="1"/>
        <v>6736710</v>
      </c>
      <c r="H30" s="104">
        <f t="shared" si="2"/>
        <v>173.693696</v>
      </c>
      <c r="I30" s="77">
        <f t="shared" si="3"/>
        <v>36.12828877</v>
      </c>
      <c r="J30" s="41" t="str">
        <f t="shared" si="4"/>
        <v>Sim</v>
      </c>
      <c r="V30" s="15"/>
      <c r="W30" s="15"/>
    </row>
    <row r="31">
      <c r="A31" s="39"/>
      <c r="B31" s="39">
        <v>46078.0</v>
      </c>
      <c r="C31" s="75">
        <v>38800.0</v>
      </c>
      <c r="D31" s="75">
        <v>0.0</v>
      </c>
      <c r="E31" s="75">
        <f> 2006719 + 1009334</f>
        <v>3016053</v>
      </c>
      <c r="F31" s="75">
        <f>3501014</f>
        <v>3501014</v>
      </c>
      <c r="G31" s="56">
        <f t="shared" si="1"/>
        <v>6517067</v>
      </c>
      <c r="H31" s="104">
        <f t="shared" si="2"/>
        <v>167.9656443</v>
      </c>
      <c r="I31" s="77">
        <f t="shared" si="3"/>
        <v>34.93685402</v>
      </c>
      <c r="J31" s="41" t="str">
        <f t="shared" si="4"/>
        <v>Sim</v>
      </c>
      <c r="V31" s="15"/>
      <c r="W31" s="15"/>
    </row>
    <row r="32">
      <c r="A32" s="39"/>
      <c r="B32" s="39">
        <v>46079.0</v>
      </c>
      <c r="C32" s="75">
        <v>38791.0</v>
      </c>
      <c r="D32" s="75">
        <f> 1759338 + 141084 + 230551 + 2618822 + 118845 + 1636492</f>
        <v>6505132</v>
      </c>
      <c r="E32" s="75">
        <f> 2018614 + 1029843</f>
        <v>3048457</v>
      </c>
      <c r="F32" s="75">
        <v>0.0</v>
      </c>
      <c r="G32" s="56">
        <f t="shared" si="1"/>
        <v>9553589</v>
      </c>
      <c r="H32" s="104">
        <f t="shared" si="2"/>
        <v>246.2836483</v>
      </c>
      <c r="I32" s="77">
        <f t="shared" si="3"/>
        <v>51.22699884</v>
      </c>
      <c r="J32" s="41" t="str">
        <f t="shared" si="4"/>
        <v>Sim</v>
      </c>
      <c r="V32" s="15"/>
      <c r="W32" s="15"/>
    </row>
    <row r="33">
      <c r="A33" s="39"/>
      <c r="B33" s="39">
        <v>46080.0</v>
      </c>
      <c r="C33" s="75">
        <v>38771.0</v>
      </c>
      <c r="D33" s="75">
        <f> 1590068 + 484520 + 766026 + 1352859</f>
        <v>4193473</v>
      </c>
      <c r="E33" s="56">
        <f> 1826847 + 1413705 + 466768</f>
        <v>3707320</v>
      </c>
      <c r="F33" s="75">
        <v>0.0</v>
      </c>
      <c r="G33" s="56">
        <f t="shared" si="1"/>
        <v>7900793</v>
      </c>
      <c r="H33" s="104">
        <f t="shared" si="2"/>
        <v>203.7809961</v>
      </c>
      <c r="I33" s="77">
        <f t="shared" si="3"/>
        <v>42.38644719</v>
      </c>
      <c r="J33" s="41" t="str">
        <f t="shared" si="4"/>
        <v>Sim</v>
      </c>
      <c r="V33" s="15"/>
      <c r="W33" s="15"/>
    </row>
    <row r="34">
      <c r="A34" s="39"/>
      <c r="B34" s="39">
        <v>46081.0</v>
      </c>
      <c r="C34" s="75">
        <v>38797.0</v>
      </c>
      <c r="D34" s="56">
        <f> 2404620 - 128910 + 2307912 + 44265 + 32000 + 1839700</f>
        <v>6499587</v>
      </c>
      <c r="E34" s="56">
        <f> 749075 + 456861</f>
        <v>1205936</v>
      </c>
      <c r="F34" s="56"/>
      <c r="G34" s="56">
        <f t="shared" si="1"/>
        <v>7705523</v>
      </c>
      <c r="H34" s="104">
        <f t="shared" si="2"/>
        <v>198.6113102</v>
      </c>
      <c r="I34" s="77">
        <f t="shared" si="3"/>
        <v>41.31115251</v>
      </c>
      <c r="J34" s="41" t="str">
        <f t="shared" si="4"/>
        <v>Sim</v>
      </c>
      <c r="V34" s="15"/>
      <c r="W34" s="15"/>
    </row>
    <row r="35">
      <c r="J35" s="15"/>
      <c r="V35" s="15"/>
      <c r="W35" s="15"/>
    </row>
    <row r="36">
      <c r="J36" s="15"/>
      <c r="V36" s="15"/>
      <c r="W36" s="15"/>
    </row>
    <row r="37">
      <c r="J37" s="15"/>
      <c r="V37" s="15"/>
      <c r="W37" s="15"/>
    </row>
    <row r="38">
      <c r="J38" s="15"/>
      <c r="V38" s="15"/>
      <c r="W38" s="15"/>
    </row>
    <row r="39">
      <c r="J39" s="15"/>
      <c r="V39" s="15"/>
      <c r="W39" s="15"/>
    </row>
    <row r="40">
      <c r="J40" s="15"/>
      <c r="V40" s="15"/>
      <c r="W40" s="15"/>
    </row>
    <row r="41">
      <c r="J41" s="15"/>
      <c r="V41" s="15"/>
      <c r="W41" s="15"/>
    </row>
    <row r="42">
      <c r="J42" s="15"/>
      <c r="V42" s="15"/>
      <c r="W42" s="15"/>
    </row>
    <row r="43">
      <c r="J43" s="15"/>
      <c r="V43" s="15"/>
      <c r="W43" s="15"/>
    </row>
    <row r="44">
      <c r="J44" s="15"/>
      <c r="V44" s="15"/>
      <c r="W44" s="15"/>
    </row>
    <row r="45">
      <c r="J45" s="15"/>
      <c r="V45" s="15"/>
      <c r="W45" s="15"/>
    </row>
    <row r="46">
      <c r="J46" s="15"/>
      <c r="V46" s="15"/>
      <c r="W46" s="15"/>
    </row>
    <row r="47">
      <c r="J47" s="15"/>
      <c r="V47" s="15"/>
      <c r="W47" s="15"/>
    </row>
    <row r="48">
      <c r="J48" s="15"/>
      <c r="V48" s="15"/>
      <c r="W48" s="15"/>
    </row>
    <row r="49">
      <c r="J49" s="15"/>
      <c r="V49" s="15"/>
      <c r="W49" s="15"/>
    </row>
    <row r="50">
      <c r="J50" s="15"/>
      <c r="V50" s="15"/>
      <c r="W50" s="15"/>
    </row>
    <row r="51">
      <c r="J51" s="15"/>
      <c r="V51" s="15"/>
      <c r="W51" s="15"/>
    </row>
    <row r="52">
      <c r="J52" s="15"/>
      <c r="V52" s="15"/>
      <c r="W52" s="15"/>
    </row>
    <row r="53">
      <c r="J53" s="15"/>
      <c r="V53" s="15"/>
      <c r="W53" s="15"/>
    </row>
    <row r="54">
      <c r="J54" s="15"/>
      <c r="V54" s="15"/>
      <c r="W54" s="15"/>
    </row>
    <row r="55">
      <c r="J55" s="15"/>
      <c r="V55" s="15"/>
      <c r="W55" s="15"/>
    </row>
    <row r="56">
      <c r="J56" s="15"/>
      <c r="V56" s="15"/>
      <c r="W56" s="15"/>
    </row>
    <row r="57">
      <c r="J57" s="15"/>
      <c r="V57" s="15"/>
      <c r="W57" s="15"/>
    </row>
    <row r="58">
      <c r="J58" s="15"/>
      <c r="V58" s="15"/>
      <c r="W58" s="15"/>
    </row>
    <row r="59">
      <c r="J59" s="15"/>
      <c r="V59" s="15"/>
      <c r="W59" s="15"/>
    </row>
    <row r="60">
      <c r="J60" s="15"/>
      <c r="V60" s="15"/>
      <c r="W60" s="15"/>
    </row>
    <row r="61">
      <c r="J61" s="15"/>
      <c r="V61" s="15"/>
      <c r="W61" s="15"/>
    </row>
    <row r="62">
      <c r="J62" s="15"/>
      <c r="V62" s="15"/>
      <c r="W62" s="15"/>
    </row>
    <row r="63">
      <c r="J63" s="15"/>
      <c r="V63" s="15"/>
      <c r="W63" s="15"/>
    </row>
    <row r="64">
      <c r="J64" s="15"/>
      <c r="V64" s="15"/>
      <c r="W64" s="15"/>
    </row>
    <row r="65">
      <c r="J65" s="15"/>
      <c r="V65" s="15"/>
      <c r="W65" s="15"/>
    </row>
    <row r="66">
      <c r="J66" s="15"/>
      <c r="V66" s="15"/>
      <c r="W66" s="15"/>
    </row>
    <row r="67">
      <c r="J67" s="15"/>
      <c r="V67" s="15"/>
      <c r="W67" s="15"/>
    </row>
    <row r="68">
      <c r="J68" s="15"/>
      <c r="V68" s="15"/>
      <c r="W68" s="15"/>
    </row>
    <row r="69">
      <c r="J69" s="15"/>
      <c r="V69" s="15"/>
      <c r="W69" s="15"/>
    </row>
    <row r="70">
      <c r="J70" s="15"/>
      <c r="V70" s="15"/>
      <c r="W70" s="15"/>
    </row>
    <row r="71">
      <c r="J71" s="15"/>
      <c r="V71" s="15"/>
      <c r="W71" s="15"/>
    </row>
    <row r="72">
      <c r="J72" s="15"/>
      <c r="V72" s="15"/>
      <c r="W72" s="15"/>
    </row>
    <row r="73">
      <c r="J73" s="15"/>
      <c r="V73" s="15"/>
      <c r="W73" s="15"/>
    </row>
    <row r="74">
      <c r="J74" s="15"/>
      <c r="V74" s="15"/>
      <c r="W74" s="15"/>
    </row>
    <row r="75">
      <c r="J75" s="15"/>
      <c r="V75" s="15"/>
      <c r="W75" s="15"/>
    </row>
    <row r="76">
      <c r="J76" s="15"/>
      <c r="V76" s="15"/>
      <c r="W76" s="15"/>
    </row>
    <row r="77">
      <c r="J77" s="15"/>
      <c r="V77" s="15"/>
      <c r="W77" s="15"/>
    </row>
    <row r="78">
      <c r="J78" s="15"/>
      <c r="V78" s="15"/>
      <c r="W78" s="15"/>
    </row>
    <row r="79">
      <c r="J79" s="15"/>
      <c r="V79" s="15"/>
      <c r="W79" s="15"/>
    </row>
    <row r="80">
      <c r="J80" s="15"/>
      <c r="V80" s="15"/>
      <c r="W80" s="15"/>
    </row>
    <row r="81">
      <c r="J81" s="15"/>
      <c r="V81" s="15"/>
      <c r="W81" s="15"/>
    </row>
    <row r="82">
      <c r="J82" s="15"/>
      <c r="V82" s="15"/>
      <c r="W82" s="15"/>
    </row>
    <row r="83">
      <c r="J83" s="15"/>
      <c r="V83" s="15"/>
      <c r="W83" s="15"/>
    </row>
    <row r="84">
      <c r="J84" s="15"/>
      <c r="V84" s="15"/>
      <c r="W84" s="15"/>
    </row>
    <row r="85">
      <c r="J85" s="15"/>
      <c r="V85" s="15"/>
      <c r="W85" s="15"/>
    </row>
    <row r="86">
      <c r="J86" s="15"/>
      <c r="V86" s="15"/>
      <c r="W86" s="15"/>
    </row>
    <row r="87">
      <c r="J87" s="15"/>
      <c r="V87" s="15"/>
      <c r="W87" s="15"/>
    </row>
    <row r="88">
      <c r="J88" s="15"/>
      <c r="V88" s="15"/>
      <c r="W88" s="15"/>
    </row>
    <row r="89">
      <c r="J89" s="15"/>
      <c r="V89" s="15"/>
      <c r="W89" s="15"/>
    </row>
    <row r="90">
      <c r="J90" s="15"/>
      <c r="V90" s="15"/>
      <c r="W90" s="15"/>
    </row>
    <row r="91">
      <c r="J91" s="15"/>
      <c r="V91" s="15"/>
      <c r="W91" s="15"/>
    </row>
    <row r="92">
      <c r="J92" s="15"/>
      <c r="V92" s="15"/>
      <c r="W92" s="15"/>
    </row>
    <row r="93">
      <c r="J93" s="15"/>
      <c r="V93" s="15"/>
      <c r="W93" s="15"/>
    </row>
    <row r="94">
      <c r="J94" s="15"/>
      <c r="V94" s="15"/>
      <c r="W94" s="15"/>
    </row>
    <row r="95">
      <c r="J95" s="15"/>
      <c r="V95" s="15"/>
      <c r="W95" s="15"/>
    </row>
    <row r="96">
      <c r="J96" s="15"/>
      <c r="V96" s="15"/>
      <c r="W96" s="15"/>
    </row>
    <row r="97">
      <c r="J97" s="15"/>
      <c r="V97" s="15"/>
      <c r="W97" s="15"/>
    </row>
    <row r="98">
      <c r="J98" s="15"/>
      <c r="V98" s="15"/>
      <c r="W98" s="15"/>
    </row>
    <row r="99">
      <c r="J99" s="15"/>
      <c r="V99" s="15"/>
      <c r="W99" s="15"/>
    </row>
    <row r="100">
      <c r="J100" s="15"/>
      <c r="V100" s="15"/>
      <c r="W100" s="15"/>
    </row>
    <row r="101">
      <c r="J101" s="15"/>
      <c r="V101" s="15"/>
      <c r="W101" s="15"/>
    </row>
    <row r="102">
      <c r="J102" s="15"/>
      <c r="V102" s="15"/>
      <c r="W102" s="15"/>
    </row>
    <row r="103">
      <c r="J103" s="15"/>
      <c r="V103" s="15"/>
      <c r="W103" s="15"/>
    </row>
    <row r="104">
      <c r="J104" s="15"/>
      <c r="V104" s="15"/>
      <c r="W104" s="15"/>
    </row>
    <row r="105">
      <c r="J105" s="15"/>
      <c r="V105" s="15"/>
      <c r="W105" s="15"/>
    </row>
    <row r="106">
      <c r="J106" s="15"/>
      <c r="V106" s="15"/>
      <c r="W106" s="15"/>
    </row>
    <row r="107">
      <c r="J107" s="15"/>
      <c r="V107" s="15"/>
      <c r="W107" s="15"/>
    </row>
    <row r="108">
      <c r="J108" s="15"/>
      <c r="V108" s="15"/>
      <c r="W108" s="15"/>
    </row>
    <row r="109">
      <c r="J109" s="15"/>
      <c r="V109" s="15"/>
      <c r="W109" s="15"/>
    </row>
    <row r="110">
      <c r="J110" s="15"/>
      <c r="V110" s="15"/>
      <c r="W110" s="15"/>
    </row>
    <row r="111">
      <c r="J111" s="15"/>
      <c r="V111" s="15"/>
      <c r="W111" s="15"/>
    </row>
    <row r="112">
      <c r="J112" s="15"/>
      <c r="V112" s="15"/>
      <c r="W112" s="15"/>
    </row>
    <row r="113">
      <c r="J113" s="15"/>
      <c r="V113" s="15"/>
      <c r="W113" s="15"/>
    </row>
    <row r="114">
      <c r="J114" s="15"/>
      <c r="V114" s="15"/>
      <c r="W114" s="15"/>
    </row>
    <row r="115">
      <c r="J115" s="15"/>
      <c r="V115" s="15"/>
      <c r="W115" s="15"/>
    </row>
    <row r="116">
      <c r="J116" s="15"/>
      <c r="V116" s="15"/>
      <c r="W116" s="15"/>
    </row>
    <row r="117">
      <c r="J117" s="15"/>
      <c r="V117" s="15"/>
      <c r="W117" s="15"/>
    </row>
    <row r="118">
      <c r="J118" s="15"/>
      <c r="V118" s="15"/>
      <c r="W118" s="15"/>
    </row>
    <row r="119">
      <c r="J119" s="15"/>
      <c r="V119" s="15"/>
      <c r="W119" s="15"/>
    </row>
    <row r="120">
      <c r="J120" s="15"/>
      <c r="V120" s="15"/>
      <c r="W120" s="15"/>
    </row>
    <row r="121">
      <c r="J121" s="15"/>
      <c r="V121" s="15"/>
      <c r="W121" s="15"/>
    </row>
    <row r="122">
      <c r="J122" s="15"/>
      <c r="V122" s="15"/>
      <c r="W122" s="15"/>
    </row>
    <row r="123">
      <c r="J123" s="15"/>
      <c r="V123" s="15"/>
      <c r="W123" s="15"/>
    </row>
    <row r="124">
      <c r="J124" s="15"/>
      <c r="V124" s="15"/>
      <c r="W124" s="15"/>
    </row>
    <row r="125">
      <c r="J125" s="15"/>
      <c r="V125" s="15"/>
      <c r="W125" s="15"/>
    </row>
    <row r="126">
      <c r="J126" s="15"/>
      <c r="V126" s="15"/>
      <c r="W126" s="15"/>
    </row>
    <row r="127">
      <c r="J127" s="15"/>
      <c r="V127" s="15"/>
      <c r="W127" s="15"/>
    </row>
    <row r="128">
      <c r="J128" s="15"/>
      <c r="V128" s="15"/>
      <c r="W128" s="15"/>
    </row>
    <row r="129">
      <c r="J129" s="15"/>
      <c r="V129" s="15"/>
      <c r="W129" s="15"/>
    </row>
    <row r="130">
      <c r="J130" s="15"/>
      <c r="V130" s="15"/>
      <c r="W130" s="15"/>
    </row>
    <row r="131">
      <c r="J131" s="15"/>
      <c r="V131" s="15"/>
      <c r="W131" s="15"/>
    </row>
    <row r="132">
      <c r="J132" s="15"/>
      <c r="V132" s="15"/>
      <c r="W132" s="15"/>
    </row>
    <row r="133">
      <c r="J133" s="15"/>
      <c r="V133" s="15"/>
      <c r="W133" s="15"/>
    </row>
    <row r="134">
      <c r="J134" s="15"/>
      <c r="V134" s="15"/>
      <c r="W134" s="15"/>
    </row>
    <row r="135">
      <c r="J135" s="15"/>
      <c r="V135" s="15"/>
      <c r="W135" s="15"/>
    </row>
    <row r="136">
      <c r="J136" s="15"/>
      <c r="V136" s="15"/>
      <c r="W136" s="15"/>
    </row>
    <row r="137">
      <c r="J137" s="15"/>
      <c r="V137" s="15"/>
      <c r="W137" s="15"/>
    </row>
    <row r="138">
      <c r="J138" s="15"/>
      <c r="V138" s="15"/>
      <c r="W138" s="15"/>
    </row>
    <row r="139">
      <c r="J139" s="15"/>
      <c r="V139" s="15"/>
      <c r="W139" s="15"/>
    </row>
    <row r="140">
      <c r="J140" s="15"/>
      <c r="V140" s="15"/>
      <c r="W140" s="15"/>
    </row>
    <row r="141">
      <c r="J141" s="15"/>
      <c r="V141" s="15"/>
      <c r="W141" s="15"/>
    </row>
    <row r="142">
      <c r="J142" s="15"/>
      <c r="V142" s="15"/>
      <c r="W142" s="15"/>
    </row>
    <row r="143">
      <c r="J143" s="15"/>
      <c r="V143" s="15"/>
      <c r="W143" s="15"/>
    </row>
    <row r="144">
      <c r="J144" s="15"/>
      <c r="V144" s="15"/>
      <c r="W144" s="15"/>
    </row>
    <row r="145">
      <c r="J145" s="15"/>
      <c r="V145" s="15"/>
      <c r="W145" s="15"/>
    </row>
    <row r="146">
      <c r="J146" s="15"/>
      <c r="V146" s="15"/>
      <c r="W146" s="15"/>
    </row>
    <row r="147">
      <c r="J147" s="15"/>
      <c r="V147" s="15"/>
      <c r="W147" s="15"/>
    </row>
    <row r="148">
      <c r="J148" s="15"/>
      <c r="V148" s="15"/>
      <c r="W148" s="15"/>
    </row>
    <row r="149">
      <c r="J149" s="15"/>
      <c r="V149" s="15"/>
      <c r="W149" s="15"/>
    </row>
    <row r="150">
      <c r="J150" s="15"/>
      <c r="V150" s="15"/>
      <c r="W150" s="15"/>
    </row>
    <row r="151">
      <c r="J151" s="15"/>
      <c r="V151" s="15"/>
      <c r="W151" s="15"/>
    </row>
    <row r="152">
      <c r="J152" s="15"/>
      <c r="V152" s="15"/>
      <c r="W152" s="15"/>
    </row>
    <row r="153">
      <c r="J153" s="15"/>
      <c r="V153" s="15"/>
      <c r="W153" s="15"/>
    </row>
    <row r="154">
      <c r="J154" s="15"/>
      <c r="V154" s="15"/>
      <c r="W154" s="15"/>
    </row>
    <row r="155">
      <c r="J155" s="15"/>
      <c r="V155" s="15"/>
      <c r="W155" s="15"/>
    </row>
    <row r="156">
      <c r="J156" s="15"/>
      <c r="V156" s="15"/>
      <c r="W156" s="15"/>
    </row>
    <row r="157">
      <c r="J157" s="15"/>
      <c r="V157" s="15"/>
      <c r="W157" s="15"/>
    </row>
    <row r="158">
      <c r="J158" s="15"/>
      <c r="V158" s="15"/>
      <c r="W158" s="15"/>
    </row>
    <row r="159">
      <c r="J159" s="15"/>
      <c r="V159" s="15"/>
      <c r="W159" s="15"/>
    </row>
    <row r="160">
      <c r="J160" s="15"/>
      <c r="V160" s="15"/>
      <c r="W160" s="15"/>
    </row>
    <row r="161">
      <c r="J161" s="15"/>
      <c r="V161" s="15"/>
      <c r="W161" s="15"/>
    </row>
    <row r="162">
      <c r="J162" s="15"/>
      <c r="V162" s="15"/>
      <c r="W162" s="15"/>
    </row>
    <row r="163">
      <c r="J163" s="15"/>
      <c r="V163" s="15"/>
      <c r="W163" s="15"/>
    </row>
    <row r="164">
      <c r="J164" s="15"/>
      <c r="V164" s="15"/>
      <c r="W164" s="15"/>
    </row>
    <row r="165">
      <c r="J165" s="15"/>
      <c r="V165" s="15"/>
      <c r="W165" s="15"/>
    </row>
    <row r="166">
      <c r="J166" s="15"/>
      <c r="V166" s="15"/>
      <c r="W166" s="15"/>
    </row>
    <row r="167">
      <c r="J167" s="15"/>
      <c r="V167" s="15"/>
      <c r="W167" s="15"/>
    </row>
    <row r="168">
      <c r="J168" s="15"/>
      <c r="V168" s="15"/>
      <c r="W168" s="15"/>
    </row>
    <row r="169">
      <c r="J169" s="15"/>
      <c r="V169" s="15"/>
      <c r="W169" s="15"/>
    </row>
    <row r="170">
      <c r="J170" s="15"/>
      <c r="V170" s="15"/>
      <c r="W170" s="15"/>
    </row>
    <row r="171">
      <c r="J171" s="15"/>
      <c r="V171" s="15"/>
      <c r="W171" s="15"/>
    </row>
    <row r="172">
      <c r="J172" s="15"/>
      <c r="V172" s="15"/>
      <c r="W172" s="15"/>
    </row>
    <row r="173">
      <c r="J173" s="15"/>
      <c r="V173" s="15"/>
      <c r="W173" s="15"/>
    </row>
    <row r="174">
      <c r="J174" s="15"/>
      <c r="V174" s="15"/>
      <c r="W174" s="15"/>
    </row>
    <row r="175">
      <c r="J175" s="15"/>
      <c r="V175" s="15"/>
      <c r="W175" s="15"/>
    </row>
    <row r="176">
      <c r="J176" s="15"/>
      <c r="V176" s="15"/>
      <c r="W176" s="15"/>
    </row>
    <row r="177">
      <c r="J177" s="15"/>
      <c r="V177" s="15"/>
      <c r="W177" s="15"/>
    </row>
    <row r="178">
      <c r="J178" s="15"/>
      <c r="V178" s="15"/>
      <c r="W178" s="15"/>
    </row>
    <row r="179">
      <c r="J179" s="15"/>
      <c r="V179" s="15"/>
      <c r="W179" s="15"/>
    </row>
    <row r="180">
      <c r="J180" s="15"/>
      <c r="V180" s="15"/>
      <c r="W180" s="15"/>
    </row>
    <row r="181">
      <c r="J181" s="15"/>
      <c r="V181" s="15"/>
      <c r="W181" s="15"/>
    </row>
    <row r="182">
      <c r="J182" s="15"/>
      <c r="V182" s="15"/>
      <c r="W182" s="15"/>
    </row>
    <row r="183">
      <c r="J183" s="15"/>
      <c r="V183" s="15"/>
      <c r="W183" s="15"/>
    </row>
    <row r="184">
      <c r="J184" s="15"/>
      <c r="V184" s="15"/>
      <c r="W184" s="15"/>
    </row>
    <row r="185">
      <c r="J185" s="15"/>
      <c r="V185" s="15"/>
      <c r="W185" s="15"/>
    </row>
    <row r="186">
      <c r="J186" s="15"/>
      <c r="V186" s="15"/>
      <c r="W186" s="15"/>
    </row>
    <row r="187">
      <c r="J187" s="15"/>
      <c r="V187" s="15"/>
      <c r="W187" s="15"/>
    </row>
    <row r="188">
      <c r="J188" s="15"/>
      <c r="V188" s="15"/>
      <c r="W188" s="15"/>
    </row>
    <row r="189">
      <c r="J189" s="15"/>
      <c r="V189" s="15"/>
      <c r="W189" s="15"/>
    </row>
    <row r="190">
      <c r="J190" s="15"/>
      <c r="V190" s="15"/>
      <c r="W190" s="15"/>
    </row>
    <row r="191">
      <c r="J191" s="15"/>
      <c r="V191" s="15"/>
      <c r="W191" s="15"/>
    </row>
    <row r="192">
      <c r="J192" s="15"/>
      <c r="V192" s="15"/>
      <c r="W192" s="15"/>
    </row>
    <row r="193">
      <c r="J193" s="15"/>
      <c r="V193" s="15"/>
      <c r="W193" s="15"/>
    </row>
    <row r="194">
      <c r="J194" s="15"/>
      <c r="V194" s="15"/>
      <c r="W194" s="15"/>
    </row>
    <row r="195">
      <c r="J195" s="15"/>
      <c r="V195" s="15"/>
      <c r="W195" s="15"/>
    </row>
    <row r="196">
      <c r="J196" s="15"/>
      <c r="V196" s="15"/>
      <c r="W196" s="15"/>
    </row>
    <row r="197">
      <c r="J197" s="15"/>
      <c r="V197" s="15"/>
      <c r="W197" s="15"/>
    </row>
    <row r="198">
      <c r="J198" s="15"/>
      <c r="V198" s="15"/>
      <c r="W198" s="15"/>
    </row>
    <row r="199">
      <c r="J199" s="15"/>
      <c r="V199" s="15"/>
      <c r="W199" s="15"/>
    </row>
    <row r="200">
      <c r="J200" s="15"/>
      <c r="V200" s="15"/>
      <c r="W200" s="15"/>
    </row>
    <row r="201">
      <c r="J201" s="15"/>
      <c r="V201" s="15"/>
      <c r="W201" s="15"/>
    </row>
    <row r="202">
      <c r="J202" s="15"/>
      <c r="V202" s="15"/>
      <c r="W202" s="15"/>
    </row>
    <row r="203">
      <c r="J203" s="15"/>
      <c r="V203" s="15"/>
      <c r="W203" s="15"/>
    </row>
    <row r="204">
      <c r="J204" s="15"/>
      <c r="V204" s="15"/>
      <c r="W204" s="15"/>
    </row>
    <row r="205">
      <c r="J205" s="15"/>
      <c r="V205" s="15"/>
      <c r="W205" s="15"/>
    </row>
    <row r="206">
      <c r="J206" s="15"/>
      <c r="V206" s="15"/>
      <c r="W206" s="15"/>
    </row>
    <row r="207">
      <c r="J207" s="15"/>
      <c r="V207" s="15"/>
      <c r="W207" s="15"/>
    </row>
    <row r="208">
      <c r="J208" s="15"/>
      <c r="V208" s="15"/>
      <c r="W208" s="15"/>
    </row>
    <row r="209">
      <c r="J209" s="15"/>
      <c r="V209" s="15"/>
      <c r="W209" s="15"/>
    </row>
    <row r="210">
      <c r="J210" s="15"/>
      <c r="V210" s="15"/>
      <c r="W210" s="15"/>
    </row>
    <row r="211">
      <c r="J211" s="15"/>
      <c r="V211" s="15"/>
      <c r="W211" s="15"/>
    </row>
    <row r="212">
      <c r="J212" s="15"/>
      <c r="V212" s="15"/>
      <c r="W212" s="15"/>
    </row>
    <row r="213">
      <c r="J213" s="15"/>
      <c r="V213" s="15"/>
      <c r="W213" s="15"/>
    </row>
    <row r="214">
      <c r="J214" s="15"/>
      <c r="V214" s="15"/>
      <c r="W214" s="15"/>
    </row>
    <row r="215">
      <c r="J215" s="15"/>
      <c r="V215" s="15"/>
      <c r="W215" s="15"/>
    </row>
    <row r="216">
      <c r="J216" s="15"/>
      <c r="V216" s="15"/>
      <c r="W216" s="15"/>
    </row>
    <row r="217">
      <c r="J217" s="15"/>
      <c r="V217" s="15"/>
      <c r="W217" s="15"/>
    </row>
    <row r="218">
      <c r="J218" s="15"/>
      <c r="V218" s="15"/>
      <c r="W218" s="15"/>
    </row>
    <row r="219">
      <c r="J219" s="15"/>
      <c r="V219" s="15"/>
      <c r="W219" s="15"/>
    </row>
    <row r="220">
      <c r="J220" s="15"/>
      <c r="V220" s="15"/>
      <c r="W220" s="15"/>
    </row>
    <row r="221">
      <c r="J221" s="15"/>
      <c r="V221" s="15"/>
      <c r="W221" s="15"/>
    </row>
    <row r="222">
      <c r="J222" s="15"/>
      <c r="V222" s="15"/>
      <c r="W222" s="15"/>
    </row>
    <row r="223">
      <c r="J223" s="15"/>
      <c r="V223" s="15"/>
      <c r="W223" s="15"/>
    </row>
    <row r="224">
      <c r="J224" s="15"/>
      <c r="V224" s="15"/>
      <c r="W224" s="15"/>
    </row>
    <row r="225">
      <c r="J225" s="15"/>
      <c r="V225" s="15"/>
      <c r="W225" s="15"/>
    </row>
    <row r="226">
      <c r="J226" s="15"/>
      <c r="V226" s="15"/>
      <c r="W226" s="15"/>
    </row>
    <row r="227">
      <c r="J227" s="15"/>
      <c r="V227" s="15"/>
      <c r="W227" s="15"/>
    </row>
    <row r="228">
      <c r="J228" s="15"/>
      <c r="V228" s="15"/>
      <c r="W228" s="15"/>
    </row>
    <row r="229">
      <c r="J229" s="15"/>
      <c r="V229" s="15"/>
      <c r="W229" s="15"/>
    </row>
    <row r="230">
      <c r="J230" s="15"/>
      <c r="V230" s="15"/>
      <c r="W230" s="15"/>
    </row>
    <row r="231">
      <c r="J231" s="15"/>
      <c r="V231" s="15"/>
      <c r="W231" s="15"/>
    </row>
    <row r="232">
      <c r="J232" s="15"/>
      <c r="V232" s="15"/>
      <c r="W232" s="15"/>
    </row>
    <row r="233">
      <c r="J233" s="15"/>
      <c r="V233" s="15"/>
      <c r="W233" s="15"/>
    </row>
    <row r="234">
      <c r="J234" s="15"/>
      <c r="V234" s="15"/>
      <c r="W234" s="15"/>
    </row>
    <row r="235">
      <c r="J235" s="15"/>
      <c r="V235" s="15"/>
      <c r="W235" s="15"/>
    </row>
    <row r="236">
      <c r="J236" s="15"/>
      <c r="V236" s="15"/>
      <c r="W236" s="15"/>
    </row>
    <row r="237">
      <c r="J237" s="15"/>
      <c r="V237" s="15"/>
      <c r="W237" s="15"/>
    </row>
    <row r="238">
      <c r="J238" s="15"/>
      <c r="V238" s="15"/>
      <c r="W238" s="15"/>
    </row>
    <row r="239">
      <c r="J239" s="15"/>
      <c r="V239" s="15"/>
      <c r="W239" s="15"/>
    </row>
    <row r="240">
      <c r="J240" s="15"/>
      <c r="V240" s="15"/>
      <c r="W240" s="15"/>
    </row>
    <row r="241">
      <c r="J241" s="15"/>
      <c r="V241" s="15"/>
      <c r="W241" s="15"/>
    </row>
    <row r="242">
      <c r="J242" s="15"/>
      <c r="V242" s="15"/>
      <c r="W242" s="15"/>
    </row>
    <row r="243">
      <c r="J243" s="15"/>
      <c r="V243" s="15"/>
      <c r="W243" s="15"/>
    </row>
    <row r="244">
      <c r="J244" s="15"/>
      <c r="V244" s="15"/>
      <c r="W244" s="15"/>
    </row>
    <row r="245">
      <c r="J245" s="15"/>
      <c r="V245" s="15"/>
      <c r="W245" s="15"/>
    </row>
    <row r="246">
      <c r="J246" s="15"/>
      <c r="V246" s="15"/>
      <c r="W246" s="15"/>
    </row>
    <row r="247">
      <c r="J247" s="15"/>
      <c r="V247" s="15"/>
      <c r="W247" s="15"/>
    </row>
    <row r="248">
      <c r="J248" s="15"/>
      <c r="V248" s="15"/>
      <c r="W248" s="15"/>
    </row>
    <row r="249">
      <c r="J249" s="15"/>
      <c r="V249" s="15"/>
      <c r="W249" s="15"/>
    </row>
    <row r="250">
      <c r="J250" s="15"/>
      <c r="V250" s="15"/>
      <c r="W250" s="15"/>
    </row>
    <row r="251">
      <c r="J251" s="15"/>
      <c r="V251" s="15"/>
      <c r="W251" s="15"/>
    </row>
    <row r="252">
      <c r="J252" s="15"/>
      <c r="V252" s="15"/>
      <c r="W252" s="15"/>
    </row>
    <row r="253">
      <c r="J253" s="15"/>
      <c r="V253" s="15"/>
      <c r="W253" s="15"/>
    </row>
    <row r="254">
      <c r="J254" s="15"/>
      <c r="V254" s="15"/>
      <c r="W254" s="15"/>
    </row>
    <row r="255">
      <c r="J255" s="15"/>
      <c r="V255" s="15"/>
      <c r="W255" s="15"/>
    </row>
    <row r="256">
      <c r="J256" s="15"/>
      <c r="V256" s="15"/>
      <c r="W256" s="15"/>
    </row>
    <row r="257">
      <c r="J257" s="15"/>
      <c r="V257" s="15"/>
      <c r="W257" s="15"/>
    </row>
    <row r="258">
      <c r="J258" s="15"/>
      <c r="V258" s="15"/>
      <c r="W258" s="15"/>
    </row>
    <row r="259">
      <c r="J259" s="15"/>
      <c r="V259" s="15"/>
      <c r="W259" s="15"/>
    </row>
    <row r="260">
      <c r="J260" s="15"/>
      <c r="V260" s="15"/>
      <c r="W260" s="15"/>
    </row>
    <row r="261">
      <c r="J261" s="15"/>
      <c r="V261" s="15"/>
      <c r="W261" s="15"/>
    </row>
    <row r="262">
      <c r="J262" s="15"/>
      <c r="V262" s="15"/>
      <c r="W262" s="15"/>
    </row>
    <row r="263">
      <c r="J263" s="15"/>
      <c r="V263" s="15"/>
      <c r="W263" s="15"/>
    </row>
    <row r="264">
      <c r="J264" s="15"/>
      <c r="V264" s="15"/>
      <c r="W264" s="15"/>
    </row>
    <row r="265">
      <c r="J265" s="15"/>
      <c r="V265" s="15"/>
      <c r="W265" s="15"/>
    </row>
    <row r="266">
      <c r="J266" s="15"/>
      <c r="V266" s="15"/>
      <c r="W266" s="15"/>
    </row>
    <row r="267">
      <c r="J267" s="15"/>
      <c r="V267" s="15"/>
      <c r="W267" s="15"/>
    </row>
    <row r="268">
      <c r="J268" s="15"/>
      <c r="V268" s="15"/>
      <c r="W268" s="15"/>
    </row>
    <row r="269">
      <c r="J269" s="15"/>
      <c r="V269" s="15"/>
      <c r="W269" s="15"/>
    </row>
    <row r="270">
      <c r="J270" s="15"/>
      <c r="V270" s="15"/>
      <c r="W270" s="15"/>
    </row>
    <row r="271">
      <c r="J271" s="15"/>
      <c r="V271" s="15"/>
      <c r="W271" s="15"/>
    </row>
    <row r="272">
      <c r="J272" s="15"/>
      <c r="V272" s="15"/>
      <c r="W272" s="15"/>
    </row>
    <row r="273">
      <c r="J273" s="15"/>
      <c r="V273" s="15"/>
      <c r="W273" s="15"/>
    </row>
    <row r="274">
      <c r="J274" s="15"/>
      <c r="V274" s="15"/>
      <c r="W274" s="15"/>
    </row>
    <row r="275">
      <c r="J275" s="15"/>
      <c r="V275" s="15"/>
      <c r="W275" s="15"/>
    </row>
    <row r="276">
      <c r="J276" s="15"/>
      <c r="V276" s="15"/>
      <c r="W276" s="15"/>
    </row>
    <row r="277">
      <c r="J277" s="15"/>
      <c r="V277" s="15"/>
      <c r="W277" s="15"/>
    </row>
    <row r="278">
      <c r="J278" s="15"/>
      <c r="V278" s="15"/>
      <c r="W278" s="15"/>
    </row>
    <row r="279">
      <c r="J279" s="15"/>
      <c r="V279" s="15"/>
      <c r="W279" s="15"/>
    </row>
    <row r="280">
      <c r="J280" s="15"/>
      <c r="V280" s="15"/>
      <c r="W280" s="15"/>
    </row>
    <row r="281">
      <c r="J281" s="15"/>
      <c r="V281" s="15"/>
      <c r="W281" s="15"/>
    </row>
    <row r="282">
      <c r="J282" s="15"/>
      <c r="V282" s="15"/>
      <c r="W282" s="15"/>
    </row>
    <row r="283">
      <c r="J283" s="15"/>
      <c r="V283" s="15"/>
      <c r="W283" s="15"/>
    </row>
    <row r="284">
      <c r="J284" s="15"/>
      <c r="V284" s="15"/>
      <c r="W284" s="15"/>
    </row>
    <row r="285">
      <c r="J285" s="15"/>
      <c r="V285" s="15"/>
      <c r="W285" s="15"/>
    </row>
    <row r="286">
      <c r="J286" s="15"/>
      <c r="V286" s="15"/>
      <c r="W286" s="15"/>
    </row>
    <row r="287">
      <c r="J287" s="15"/>
      <c r="V287" s="15"/>
      <c r="W287" s="15"/>
    </row>
    <row r="288">
      <c r="J288" s="15"/>
      <c r="V288" s="15"/>
      <c r="W288" s="15"/>
    </row>
    <row r="289">
      <c r="J289" s="15"/>
      <c r="V289" s="15"/>
      <c r="W289" s="15"/>
    </row>
    <row r="290">
      <c r="J290" s="15"/>
      <c r="V290" s="15"/>
      <c r="W290" s="15"/>
    </row>
    <row r="291">
      <c r="J291" s="15"/>
      <c r="V291" s="15"/>
      <c r="W291" s="15"/>
    </row>
    <row r="292">
      <c r="J292" s="15"/>
      <c r="V292" s="15"/>
      <c r="W292" s="15"/>
    </row>
    <row r="293">
      <c r="J293" s="15"/>
      <c r="V293" s="15"/>
      <c r="W293" s="15"/>
    </row>
    <row r="294">
      <c r="J294" s="15"/>
      <c r="V294" s="15"/>
      <c r="W294" s="15"/>
    </row>
    <row r="295">
      <c r="J295" s="15"/>
      <c r="V295" s="15"/>
      <c r="W295" s="15"/>
    </row>
    <row r="296">
      <c r="J296" s="15"/>
      <c r="V296" s="15"/>
      <c r="W296" s="15"/>
    </row>
    <row r="297">
      <c r="J297" s="15"/>
      <c r="V297" s="15"/>
      <c r="W297" s="15"/>
    </row>
    <row r="298">
      <c r="J298" s="15"/>
      <c r="V298" s="15"/>
      <c r="W298" s="15"/>
    </row>
    <row r="299">
      <c r="J299" s="15"/>
      <c r="V299" s="15"/>
      <c r="W299" s="15"/>
    </row>
    <row r="300">
      <c r="J300" s="15"/>
      <c r="V300" s="15"/>
      <c r="W300" s="15"/>
    </row>
    <row r="301">
      <c r="J301" s="15"/>
      <c r="V301" s="15"/>
      <c r="W301" s="15"/>
    </row>
    <row r="302">
      <c r="J302" s="15"/>
      <c r="V302" s="15"/>
      <c r="W302" s="15"/>
    </row>
    <row r="303">
      <c r="J303" s="15"/>
      <c r="V303" s="15"/>
      <c r="W303" s="15"/>
    </row>
    <row r="304">
      <c r="J304" s="15"/>
      <c r="V304" s="15"/>
      <c r="W304" s="15"/>
    </row>
    <row r="305">
      <c r="J305" s="15"/>
      <c r="V305" s="15"/>
      <c r="W305" s="15"/>
    </row>
    <row r="306">
      <c r="J306" s="15"/>
      <c r="V306" s="15"/>
      <c r="W306" s="15"/>
    </row>
    <row r="307">
      <c r="J307" s="15"/>
      <c r="V307" s="15"/>
      <c r="W307" s="15"/>
    </row>
    <row r="308">
      <c r="J308" s="15"/>
      <c r="V308" s="15"/>
      <c r="W308" s="15"/>
    </row>
    <row r="309">
      <c r="J309" s="15"/>
      <c r="V309" s="15"/>
      <c r="W309" s="15"/>
    </row>
    <row r="310">
      <c r="J310" s="15"/>
      <c r="V310" s="15"/>
      <c r="W310" s="15"/>
    </row>
    <row r="311">
      <c r="J311" s="15"/>
      <c r="V311" s="15"/>
      <c r="W311" s="15"/>
    </row>
    <row r="312">
      <c r="J312" s="15"/>
      <c r="V312" s="15"/>
      <c r="W312" s="15"/>
    </row>
    <row r="313">
      <c r="J313" s="15"/>
      <c r="V313" s="15"/>
      <c r="W313" s="15"/>
    </row>
    <row r="314">
      <c r="J314" s="15"/>
      <c r="V314" s="15"/>
      <c r="W314" s="15"/>
    </row>
    <row r="315">
      <c r="J315" s="15"/>
      <c r="V315" s="15"/>
      <c r="W315" s="15"/>
    </row>
    <row r="316">
      <c r="J316" s="15"/>
      <c r="V316" s="15"/>
      <c r="W316" s="15"/>
    </row>
    <row r="317">
      <c r="J317" s="15"/>
      <c r="V317" s="15"/>
      <c r="W317" s="15"/>
    </row>
    <row r="318">
      <c r="J318" s="15"/>
      <c r="V318" s="15"/>
      <c r="W318" s="15"/>
    </row>
    <row r="319">
      <c r="J319" s="15"/>
      <c r="V319" s="15"/>
      <c r="W319" s="15"/>
    </row>
    <row r="320">
      <c r="J320" s="15"/>
      <c r="V320" s="15"/>
      <c r="W320" s="15"/>
    </row>
    <row r="321">
      <c r="J321" s="15"/>
      <c r="V321" s="15"/>
      <c r="W321" s="15"/>
    </row>
    <row r="322">
      <c r="J322" s="15"/>
      <c r="V322" s="15"/>
      <c r="W322" s="15"/>
    </row>
    <row r="323">
      <c r="J323" s="15"/>
      <c r="V323" s="15"/>
      <c r="W323" s="15"/>
    </row>
    <row r="324">
      <c r="J324" s="15"/>
      <c r="V324" s="15"/>
      <c r="W324" s="15"/>
    </row>
    <row r="325">
      <c r="J325" s="15"/>
      <c r="V325" s="15"/>
      <c r="W325" s="15"/>
    </row>
    <row r="326">
      <c r="J326" s="15"/>
      <c r="V326" s="15"/>
      <c r="W326" s="15"/>
    </row>
    <row r="327">
      <c r="J327" s="15"/>
      <c r="V327" s="15"/>
      <c r="W327" s="15"/>
    </row>
    <row r="328">
      <c r="J328" s="15"/>
      <c r="V328" s="15"/>
      <c r="W328" s="15"/>
    </row>
    <row r="329">
      <c r="J329" s="15"/>
      <c r="V329" s="15"/>
      <c r="W329" s="15"/>
    </row>
    <row r="330">
      <c r="J330" s="15"/>
      <c r="V330" s="15"/>
      <c r="W330" s="15"/>
    </row>
    <row r="331">
      <c r="J331" s="15"/>
      <c r="V331" s="15"/>
      <c r="W331" s="15"/>
    </row>
    <row r="332">
      <c r="J332" s="15"/>
      <c r="V332" s="15"/>
      <c r="W332" s="15"/>
    </row>
    <row r="333">
      <c r="J333" s="15"/>
      <c r="V333" s="15"/>
      <c r="W333" s="15"/>
    </row>
    <row r="334">
      <c r="J334" s="15"/>
      <c r="V334" s="15"/>
      <c r="W334" s="15"/>
    </row>
    <row r="335">
      <c r="J335" s="15"/>
      <c r="V335" s="15"/>
      <c r="W335" s="15"/>
    </row>
    <row r="336">
      <c r="J336" s="15"/>
      <c r="V336" s="15"/>
      <c r="W336" s="15"/>
    </row>
    <row r="337">
      <c r="J337" s="15"/>
      <c r="V337" s="15"/>
      <c r="W337" s="15"/>
    </row>
    <row r="338">
      <c r="J338" s="15"/>
      <c r="V338" s="15"/>
      <c r="W338" s="15"/>
    </row>
    <row r="339">
      <c r="J339" s="15"/>
      <c r="V339" s="15"/>
      <c r="W339" s="15"/>
    </row>
    <row r="340">
      <c r="J340" s="15"/>
      <c r="V340" s="15"/>
      <c r="W340" s="15"/>
    </row>
    <row r="341">
      <c r="J341" s="15"/>
      <c r="V341" s="15"/>
      <c r="W341" s="15"/>
    </row>
    <row r="342">
      <c r="J342" s="15"/>
      <c r="V342" s="15"/>
      <c r="W342" s="15"/>
    </row>
    <row r="343">
      <c r="J343" s="15"/>
      <c r="V343" s="15"/>
      <c r="W343" s="15"/>
    </row>
    <row r="344">
      <c r="J344" s="15"/>
      <c r="V344" s="15"/>
      <c r="W344" s="15"/>
    </row>
    <row r="345">
      <c r="J345" s="15"/>
      <c r="V345" s="15"/>
      <c r="W345" s="15"/>
    </row>
    <row r="346">
      <c r="J346" s="15"/>
      <c r="V346" s="15"/>
      <c r="W346" s="15"/>
    </row>
    <row r="347">
      <c r="J347" s="15"/>
      <c r="V347" s="15"/>
      <c r="W347" s="15"/>
    </row>
    <row r="348">
      <c r="J348" s="15"/>
      <c r="V348" s="15"/>
      <c r="W348" s="15"/>
    </row>
    <row r="349">
      <c r="J349" s="15"/>
      <c r="V349" s="15"/>
      <c r="W349" s="15"/>
    </row>
    <row r="350">
      <c r="J350" s="15"/>
      <c r="V350" s="15"/>
      <c r="W350" s="15"/>
    </row>
    <row r="351">
      <c r="J351" s="15"/>
      <c r="V351" s="15"/>
      <c r="W351" s="15"/>
    </row>
    <row r="352">
      <c r="J352" s="15"/>
      <c r="V352" s="15"/>
      <c r="W352" s="15"/>
    </row>
    <row r="353">
      <c r="J353" s="15"/>
      <c r="V353" s="15"/>
      <c r="W353" s="15"/>
    </row>
    <row r="354">
      <c r="J354" s="15"/>
      <c r="V354" s="15"/>
      <c r="W354" s="15"/>
    </row>
    <row r="355">
      <c r="J355" s="15"/>
      <c r="V355" s="15"/>
      <c r="W355" s="15"/>
    </row>
    <row r="356">
      <c r="J356" s="15"/>
      <c r="V356" s="15"/>
      <c r="W356" s="15"/>
    </row>
    <row r="357">
      <c r="J357" s="15"/>
      <c r="V357" s="15"/>
      <c r="W357" s="15"/>
    </row>
    <row r="358">
      <c r="J358" s="15"/>
      <c r="V358" s="15"/>
      <c r="W358" s="15"/>
    </row>
    <row r="359">
      <c r="J359" s="15"/>
      <c r="V359" s="15"/>
      <c r="W359" s="15"/>
    </row>
    <row r="360">
      <c r="J360" s="15"/>
      <c r="V360" s="15"/>
      <c r="W360" s="15"/>
    </row>
    <row r="361">
      <c r="J361" s="15"/>
      <c r="V361" s="15"/>
      <c r="W361" s="15"/>
    </row>
    <row r="362">
      <c r="J362" s="15"/>
      <c r="V362" s="15"/>
      <c r="W362" s="15"/>
    </row>
    <row r="363">
      <c r="J363" s="15"/>
      <c r="V363" s="15"/>
      <c r="W363" s="15"/>
    </row>
    <row r="364">
      <c r="J364" s="15"/>
      <c r="V364" s="15"/>
      <c r="W364" s="15"/>
    </row>
    <row r="365">
      <c r="J365" s="15"/>
      <c r="V365" s="15"/>
      <c r="W365" s="15"/>
    </row>
    <row r="366">
      <c r="J366" s="15"/>
      <c r="V366" s="15"/>
      <c r="W366" s="15"/>
    </row>
    <row r="367">
      <c r="J367" s="15"/>
      <c r="V367" s="15"/>
      <c r="W367" s="15"/>
    </row>
    <row r="368">
      <c r="J368" s="15"/>
      <c r="V368" s="15"/>
      <c r="W368" s="15"/>
    </row>
    <row r="369">
      <c r="J369" s="15"/>
      <c r="V369" s="15"/>
      <c r="W369" s="15"/>
    </row>
    <row r="370">
      <c r="J370" s="15"/>
      <c r="V370" s="15"/>
      <c r="W370" s="15"/>
    </row>
    <row r="371">
      <c r="J371" s="15"/>
      <c r="V371" s="15"/>
      <c r="W371" s="15"/>
    </row>
    <row r="372">
      <c r="J372" s="15"/>
      <c r="V372" s="15"/>
      <c r="W372" s="15"/>
    </row>
    <row r="373">
      <c r="J373" s="15"/>
      <c r="V373" s="15"/>
      <c r="W373" s="15"/>
    </row>
    <row r="374">
      <c r="J374" s="15"/>
      <c r="V374" s="15"/>
      <c r="W374" s="15"/>
    </row>
    <row r="375">
      <c r="J375" s="15"/>
      <c r="V375" s="15"/>
      <c r="W375" s="15"/>
    </row>
    <row r="376">
      <c r="J376" s="15"/>
      <c r="V376" s="15"/>
      <c r="W376" s="15"/>
    </row>
    <row r="377">
      <c r="J377" s="15"/>
      <c r="V377" s="15"/>
      <c r="W377" s="15"/>
    </row>
    <row r="378">
      <c r="J378" s="15"/>
      <c r="V378" s="15"/>
      <c r="W378" s="15"/>
    </row>
    <row r="379">
      <c r="J379" s="15"/>
      <c r="V379" s="15"/>
      <c r="W379" s="15"/>
    </row>
    <row r="380">
      <c r="J380" s="15"/>
      <c r="V380" s="15"/>
      <c r="W380" s="15"/>
    </row>
    <row r="381">
      <c r="J381" s="15"/>
      <c r="V381" s="15"/>
      <c r="W381" s="15"/>
    </row>
    <row r="382">
      <c r="J382" s="15"/>
      <c r="V382" s="15"/>
      <c r="W382" s="15"/>
    </row>
    <row r="383">
      <c r="J383" s="15"/>
      <c r="V383" s="15"/>
      <c r="W383" s="15"/>
    </row>
    <row r="384">
      <c r="J384" s="15"/>
      <c r="V384" s="15"/>
      <c r="W384" s="15"/>
    </row>
    <row r="385">
      <c r="J385" s="15"/>
      <c r="V385" s="15"/>
      <c r="W385" s="15"/>
    </row>
    <row r="386">
      <c r="J386" s="15"/>
      <c r="V386" s="15"/>
      <c r="W386" s="15"/>
    </row>
    <row r="387">
      <c r="J387" s="15"/>
      <c r="V387" s="15"/>
      <c r="W387" s="15"/>
    </row>
    <row r="388">
      <c r="J388" s="15"/>
      <c r="V388" s="15"/>
      <c r="W388" s="15"/>
    </row>
    <row r="389">
      <c r="J389" s="15"/>
      <c r="V389" s="15"/>
      <c r="W389" s="15"/>
    </row>
    <row r="390">
      <c r="J390" s="15"/>
      <c r="V390" s="15"/>
      <c r="W390" s="15"/>
    </row>
    <row r="391">
      <c r="J391" s="15"/>
      <c r="V391" s="15"/>
      <c r="W391" s="15"/>
    </row>
    <row r="392">
      <c r="J392" s="15"/>
      <c r="V392" s="15"/>
      <c r="W392" s="15"/>
    </row>
    <row r="393">
      <c r="J393" s="15"/>
      <c r="V393" s="15"/>
      <c r="W393" s="15"/>
    </row>
    <row r="394">
      <c r="J394" s="15"/>
      <c r="V394" s="15"/>
      <c r="W394" s="15"/>
    </row>
    <row r="395">
      <c r="J395" s="15"/>
      <c r="V395" s="15"/>
      <c r="W395" s="15"/>
    </row>
    <row r="396">
      <c r="J396" s="15"/>
      <c r="V396" s="15"/>
      <c r="W396" s="15"/>
    </row>
    <row r="397">
      <c r="J397" s="15"/>
      <c r="V397" s="15"/>
      <c r="W397" s="15"/>
    </row>
    <row r="398">
      <c r="J398" s="15"/>
      <c r="V398" s="15"/>
      <c r="W398" s="15"/>
    </row>
    <row r="399">
      <c r="J399" s="15"/>
      <c r="V399" s="15"/>
      <c r="W399" s="15"/>
    </row>
    <row r="400">
      <c r="J400" s="15"/>
      <c r="V400" s="15"/>
      <c r="W400" s="15"/>
    </row>
    <row r="401">
      <c r="J401" s="15"/>
      <c r="V401" s="15"/>
      <c r="W401" s="15"/>
    </row>
    <row r="402">
      <c r="J402" s="15"/>
      <c r="V402" s="15"/>
      <c r="W402" s="15"/>
    </row>
    <row r="403">
      <c r="J403" s="15"/>
      <c r="V403" s="15"/>
      <c r="W403" s="15"/>
    </row>
    <row r="404">
      <c r="J404" s="15"/>
      <c r="V404" s="15"/>
      <c r="W404" s="15"/>
    </row>
    <row r="405">
      <c r="J405" s="15"/>
      <c r="V405" s="15"/>
      <c r="W405" s="15"/>
    </row>
    <row r="406">
      <c r="J406" s="15"/>
      <c r="V406" s="15"/>
      <c r="W406" s="15"/>
    </row>
    <row r="407">
      <c r="J407" s="15"/>
      <c r="V407" s="15"/>
      <c r="W407" s="15"/>
    </row>
    <row r="408">
      <c r="J408" s="15"/>
      <c r="V408" s="15"/>
      <c r="W408" s="15"/>
    </row>
    <row r="409">
      <c r="J409" s="15"/>
      <c r="V409" s="15"/>
      <c r="W409" s="15"/>
    </row>
    <row r="410">
      <c r="J410" s="15"/>
      <c r="V410" s="15"/>
      <c r="W410" s="15"/>
    </row>
    <row r="411">
      <c r="J411" s="15"/>
      <c r="V411" s="15"/>
      <c r="W411" s="15"/>
    </row>
    <row r="412">
      <c r="J412" s="15"/>
      <c r="V412" s="15"/>
      <c r="W412" s="15"/>
    </row>
    <row r="413">
      <c r="J413" s="15"/>
      <c r="V413" s="15"/>
      <c r="W413" s="15"/>
    </row>
    <row r="414">
      <c r="J414" s="15"/>
      <c r="V414" s="15"/>
      <c r="W414" s="15"/>
    </row>
    <row r="415">
      <c r="J415" s="15"/>
      <c r="V415" s="15"/>
      <c r="W415" s="15"/>
    </row>
    <row r="416">
      <c r="J416" s="15"/>
      <c r="V416" s="15"/>
      <c r="W416" s="15"/>
    </row>
    <row r="417">
      <c r="J417" s="15"/>
      <c r="V417" s="15"/>
      <c r="W417" s="15"/>
    </row>
    <row r="418">
      <c r="J418" s="15"/>
      <c r="V418" s="15"/>
      <c r="W418" s="15"/>
    </row>
    <row r="419">
      <c r="J419" s="15"/>
      <c r="V419" s="15"/>
      <c r="W419" s="15"/>
    </row>
    <row r="420">
      <c r="J420" s="15"/>
      <c r="V420" s="15"/>
      <c r="W420" s="15"/>
    </row>
    <row r="421">
      <c r="J421" s="15"/>
      <c r="V421" s="15"/>
      <c r="W421" s="15"/>
    </row>
    <row r="422">
      <c r="J422" s="15"/>
      <c r="V422" s="15"/>
      <c r="W422" s="15"/>
    </row>
    <row r="423">
      <c r="J423" s="15"/>
      <c r="V423" s="15"/>
      <c r="W423" s="15"/>
    </row>
    <row r="424">
      <c r="J424" s="15"/>
      <c r="V424" s="15"/>
      <c r="W424" s="15"/>
    </row>
    <row r="425">
      <c r="J425" s="15"/>
      <c r="V425" s="15"/>
      <c r="W425" s="15"/>
    </row>
    <row r="426">
      <c r="J426" s="15"/>
      <c r="V426" s="15"/>
      <c r="W426" s="15"/>
    </row>
    <row r="427">
      <c r="J427" s="15"/>
      <c r="V427" s="15"/>
      <c r="W427" s="15"/>
    </row>
    <row r="428">
      <c r="J428" s="15"/>
      <c r="V428" s="15"/>
      <c r="W428" s="15"/>
    </row>
    <row r="429">
      <c r="J429" s="15"/>
      <c r="V429" s="15"/>
      <c r="W429" s="15"/>
    </row>
    <row r="430">
      <c r="J430" s="15"/>
      <c r="V430" s="15"/>
      <c r="W430" s="15"/>
    </row>
    <row r="431">
      <c r="J431" s="15"/>
      <c r="V431" s="15"/>
      <c r="W431" s="15"/>
    </row>
    <row r="432">
      <c r="J432" s="15"/>
      <c r="V432" s="15"/>
      <c r="W432" s="15"/>
    </row>
    <row r="433">
      <c r="J433" s="15"/>
      <c r="V433" s="15"/>
      <c r="W433" s="15"/>
    </row>
    <row r="434">
      <c r="J434" s="15"/>
      <c r="V434" s="15"/>
      <c r="W434" s="15"/>
    </row>
    <row r="435">
      <c r="J435" s="15"/>
      <c r="V435" s="15"/>
      <c r="W435" s="15"/>
    </row>
    <row r="436">
      <c r="J436" s="15"/>
      <c r="V436" s="15"/>
      <c r="W436" s="15"/>
    </row>
    <row r="437">
      <c r="J437" s="15"/>
      <c r="V437" s="15"/>
      <c r="W437" s="15"/>
    </row>
    <row r="438">
      <c r="J438" s="15"/>
      <c r="V438" s="15"/>
      <c r="W438" s="15"/>
    </row>
    <row r="439">
      <c r="J439" s="15"/>
      <c r="V439" s="15"/>
      <c r="W439" s="15"/>
    </row>
    <row r="440">
      <c r="J440" s="15"/>
      <c r="V440" s="15"/>
      <c r="W440" s="15"/>
    </row>
    <row r="441">
      <c r="J441" s="15"/>
      <c r="V441" s="15"/>
      <c r="W441" s="15"/>
    </row>
    <row r="442">
      <c r="J442" s="15"/>
      <c r="V442" s="15"/>
      <c r="W442" s="15"/>
    </row>
    <row r="443">
      <c r="J443" s="15"/>
      <c r="V443" s="15"/>
      <c r="W443" s="15"/>
    </row>
    <row r="444">
      <c r="J444" s="15"/>
      <c r="V444" s="15"/>
      <c r="W444" s="15"/>
    </row>
    <row r="445">
      <c r="J445" s="15"/>
      <c r="V445" s="15"/>
      <c r="W445" s="15"/>
    </row>
    <row r="446">
      <c r="J446" s="15"/>
      <c r="V446" s="15"/>
      <c r="W446" s="15"/>
    </row>
    <row r="447">
      <c r="J447" s="15"/>
      <c r="V447" s="15"/>
      <c r="W447" s="15"/>
    </row>
    <row r="448">
      <c r="J448" s="15"/>
      <c r="V448" s="15"/>
      <c r="W448" s="15"/>
    </row>
    <row r="449">
      <c r="J449" s="15"/>
      <c r="V449" s="15"/>
      <c r="W449" s="15"/>
    </row>
    <row r="450">
      <c r="J450" s="15"/>
      <c r="V450" s="15"/>
      <c r="W450" s="15"/>
    </row>
    <row r="451">
      <c r="J451" s="15"/>
      <c r="V451" s="15"/>
      <c r="W451" s="15"/>
    </row>
    <row r="452">
      <c r="J452" s="15"/>
      <c r="V452" s="15"/>
      <c r="W452" s="15"/>
    </row>
    <row r="453">
      <c r="J453" s="15"/>
      <c r="V453" s="15"/>
      <c r="W453" s="15"/>
    </row>
    <row r="454">
      <c r="J454" s="15"/>
      <c r="V454" s="15"/>
      <c r="W454" s="15"/>
    </row>
    <row r="455">
      <c r="J455" s="15"/>
      <c r="V455" s="15"/>
      <c r="W455" s="15"/>
    </row>
    <row r="456">
      <c r="J456" s="15"/>
      <c r="V456" s="15"/>
      <c r="W456" s="15"/>
    </row>
    <row r="457">
      <c r="J457" s="15"/>
      <c r="V457" s="15"/>
      <c r="W457" s="15"/>
    </row>
    <row r="458">
      <c r="J458" s="15"/>
      <c r="V458" s="15"/>
      <c r="W458" s="15"/>
    </row>
    <row r="459">
      <c r="J459" s="15"/>
      <c r="V459" s="15"/>
      <c r="W459" s="15"/>
    </row>
    <row r="460">
      <c r="J460" s="15"/>
      <c r="V460" s="15"/>
      <c r="W460" s="15"/>
    </row>
    <row r="461">
      <c r="J461" s="15"/>
      <c r="V461" s="15"/>
      <c r="W461" s="15"/>
    </row>
    <row r="462">
      <c r="J462" s="15"/>
      <c r="V462" s="15"/>
      <c r="W462" s="15"/>
    </row>
    <row r="463">
      <c r="J463" s="15"/>
      <c r="V463" s="15"/>
      <c r="W463" s="15"/>
    </row>
    <row r="464">
      <c r="J464" s="15"/>
      <c r="V464" s="15"/>
      <c r="W464" s="15"/>
    </row>
    <row r="465">
      <c r="J465" s="15"/>
      <c r="V465" s="15"/>
      <c r="W465" s="15"/>
    </row>
    <row r="466">
      <c r="J466" s="15"/>
      <c r="V466" s="15"/>
      <c r="W466" s="15"/>
    </row>
    <row r="467">
      <c r="J467" s="15"/>
      <c r="V467" s="15"/>
      <c r="W467" s="15"/>
    </row>
    <row r="468">
      <c r="J468" s="15"/>
      <c r="V468" s="15"/>
      <c r="W468" s="15"/>
    </row>
    <row r="469">
      <c r="J469" s="15"/>
      <c r="V469" s="15"/>
      <c r="W469" s="15"/>
    </row>
    <row r="470">
      <c r="J470" s="15"/>
      <c r="V470" s="15"/>
      <c r="W470" s="15"/>
    </row>
    <row r="471">
      <c r="J471" s="15"/>
      <c r="V471" s="15"/>
      <c r="W471" s="15"/>
    </row>
    <row r="472">
      <c r="J472" s="15"/>
      <c r="V472" s="15"/>
      <c r="W472" s="15"/>
    </row>
    <row r="473">
      <c r="J473" s="15"/>
      <c r="V473" s="15"/>
      <c r="W473" s="15"/>
    </row>
    <row r="474">
      <c r="J474" s="15"/>
      <c r="V474" s="15"/>
      <c r="W474" s="15"/>
    </row>
    <row r="475">
      <c r="J475" s="15"/>
      <c r="V475" s="15"/>
      <c r="W475" s="15"/>
    </row>
    <row r="476">
      <c r="J476" s="15"/>
      <c r="V476" s="15"/>
      <c r="W476" s="15"/>
    </row>
    <row r="477">
      <c r="J477" s="15"/>
      <c r="V477" s="15"/>
      <c r="W477" s="15"/>
    </row>
    <row r="478">
      <c r="J478" s="15"/>
      <c r="V478" s="15"/>
      <c r="W478" s="15"/>
    </row>
    <row r="479">
      <c r="J479" s="15"/>
      <c r="V479" s="15"/>
      <c r="W479" s="15"/>
    </row>
    <row r="480">
      <c r="J480" s="15"/>
      <c r="V480" s="15"/>
      <c r="W480" s="15"/>
    </row>
    <row r="481">
      <c r="J481" s="15"/>
      <c r="V481" s="15"/>
      <c r="W481" s="15"/>
    </row>
    <row r="482">
      <c r="J482" s="15"/>
      <c r="V482" s="15"/>
      <c r="W482" s="15"/>
    </row>
    <row r="483">
      <c r="J483" s="15"/>
      <c r="V483" s="15"/>
      <c r="W483" s="15"/>
    </row>
    <row r="484">
      <c r="J484" s="15"/>
      <c r="V484" s="15"/>
      <c r="W484" s="15"/>
    </row>
    <row r="485">
      <c r="J485" s="15"/>
      <c r="V485" s="15"/>
      <c r="W485" s="15"/>
    </row>
    <row r="486">
      <c r="J486" s="15"/>
      <c r="V486" s="15"/>
      <c r="W486" s="15"/>
    </row>
    <row r="487">
      <c r="J487" s="15"/>
      <c r="V487" s="15"/>
      <c r="W487" s="15"/>
    </row>
    <row r="488">
      <c r="J488" s="15"/>
      <c r="V488" s="15"/>
      <c r="W488" s="15"/>
    </row>
    <row r="489">
      <c r="J489" s="15"/>
      <c r="V489" s="15"/>
      <c r="W489" s="15"/>
    </row>
    <row r="490">
      <c r="J490" s="15"/>
      <c r="V490" s="15"/>
      <c r="W490" s="15"/>
    </row>
    <row r="491">
      <c r="J491" s="15"/>
      <c r="V491" s="15"/>
      <c r="W491" s="15"/>
    </row>
    <row r="492">
      <c r="J492" s="15"/>
      <c r="V492" s="15"/>
      <c r="W492" s="15"/>
    </row>
    <row r="493">
      <c r="J493" s="15"/>
      <c r="V493" s="15"/>
      <c r="W493" s="15"/>
    </row>
    <row r="494">
      <c r="J494" s="15"/>
      <c r="V494" s="15"/>
      <c r="W494" s="15"/>
    </row>
    <row r="495">
      <c r="J495" s="15"/>
      <c r="V495" s="15"/>
      <c r="W495" s="15"/>
    </row>
    <row r="496">
      <c r="J496" s="15"/>
      <c r="V496" s="15"/>
      <c r="W496" s="15"/>
    </row>
    <row r="497">
      <c r="J497" s="15"/>
      <c r="V497" s="15"/>
      <c r="W497" s="15"/>
    </row>
    <row r="498">
      <c r="J498" s="15"/>
      <c r="V498" s="15"/>
      <c r="W498" s="15"/>
    </row>
    <row r="499">
      <c r="J499" s="15"/>
      <c r="V499" s="15"/>
      <c r="W499" s="15"/>
    </row>
    <row r="500">
      <c r="J500" s="15"/>
      <c r="V500" s="15"/>
      <c r="W500" s="15"/>
    </row>
    <row r="501">
      <c r="J501" s="15"/>
      <c r="V501" s="15"/>
      <c r="W501" s="15"/>
    </row>
    <row r="502">
      <c r="J502" s="15"/>
      <c r="V502" s="15"/>
      <c r="W502" s="15"/>
    </row>
    <row r="503">
      <c r="J503" s="15"/>
      <c r="V503" s="15"/>
      <c r="W503" s="15"/>
    </row>
    <row r="504">
      <c r="J504" s="15"/>
      <c r="V504" s="15"/>
      <c r="W504" s="15"/>
    </row>
    <row r="505">
      <c r="J505" s="15"/>
      <c r="V505" s="15"/>
      <c r="W505" s="15"/>
    </row>
    <row r="506">
      <c r="J506" s="15"/>
      <c r="V506" s="15"/>
      <c r="W506" s="15"/>
    </row>
    <row r="507">
      <c r="J507" s="15"/>
      <c r="V507" s="15"/>
      <c r="W507" s="15"/>
    </row>
    <row r="508">
      <c r="J508" s="15"/>
      <c r="V508" s="15"/>
      <c r="W508" s="15"/>
    </row>
    <row r="509">
      <c r="J509" s="15"/>
      <c r="V509" s="15"/>
      <c r="W509" s="15"/>
    </row>
    <row r="510">
      <c r="J510" s="15"/>
      <c r="V510" s="15"/>
      <c r="W510" s="15"/>
    </row>
    <row r="511">
      <c r="J511" s="15"/>
      <c r="V511" s="15"/>
      <c r="W511" s="15"/>
    </row>
    <row r="512">
      <c r="J512" s="15"/>
      <c r="V512" s="15"/>
      <c r="W512" s="15"/>
    </row>
    <row r="513">
      <c r="J513" s="15"/>
      <c r="V513" s="15"/>
      <c r="W513" s="15"/>
    </row>
    <row r="514">
      <c r="J514" s="15"/>
      <c r="V514" s="15"/>
      <c r="W514" s="15"/>
    </row>
    <row r="515">
      <c r="J515" s="15"/>
      <c r="V515" s="15"/>
      <c r="W515" s="15"/>
    </row>
    <row r="516">
      <c r="J516" s="15"/>
      <c r="V516" s="15"/>
      <c r="W516" s="15"/>
    </row>
    <row r="517">
      <c r="J517" s="15"/>
      <c r="V517" s="15"/>
      <c r="W517" s="15"/>
    </row>
    <row r="518">
      <c r="J518" s="15"/>
      <c r="V518" s="15"/>
      <c r="W518" s="15"/>
    </row>
    <row r="519">
      <c r="J519" s="15"/>
      <c r="V519" s="15"/>
      <c r="W519" s="15"/>
    </row>
    <row r="520">
      <c r="J520" s="15"/>
      <c r="V520" s="15"/>
      <c r="W520" s="15"/>
    </row>
    <row r="521">
      <c r="J521" s="15"/>
      <c r="V521" s="15"/>
      <c r="W521" s="15"/>
    </row>
    <row r="522">
      <c r="J522" s="15"/>
      <c r="V522" s="15"/>
      <c r="W522" s="15"/>
    </row>
    <row r="523">
      <c r="J523" s="15"/>
      <c r="V523" s="15"/>
      <c r="W523" s="15"/>
    </row>
    <row r="524">
      <c r="J524" s="15"/>
      <c r="V524" s="15"/>
      <c r="W524" s="15"/>
    </row>
    <row r="525">
      <c r="J525" s="15"/>
      <c r="V525" s="15"/>
      <c r="W525" s="15"/>
    </row>
    <row r="526">
      <c r="J526" s="15"/>
      <c r="V526" s="15"/>
      <c r="W526" s="15"/>
    </row>
    <row r="527">
      <c r="J527" s="15"/>
      <c r="V527" s="15"/>
      <c r="W527" s="15"/>
    </row>
    <row r="528">
      <c r="J528" s="15"/>
      <c r="V528" s="15"/>
      <c r="W528" s="15"/>
    </row>
    <row r="529">
      <c r="J529" s="15"/>
      <c r="V529" s="15"/>
      <c r="W529" s="15"/>
    </row>
    <row r="530">
      <c r="J530" s="15"/>
      <c r="V530" s="15"/>
      <c r="W530" s="15"/>
    </row>
    <row r="531">
      <c r="J531" s="15"/>
      <c r="V531" s="15"/>
      <c r="W531" s="15"/>
    </row>
    <row r="532">
      <c r="J532" s="15"/>
      <c r="V532" s="15"/>
      <c r="W532" s="15"/>
    </row>
    <row r="533">
      <c r="J533" s="15"/>
      <c r="V533" s="15"/>
      <c r="W533" s="15"/>
    </row>
    <row r="534">
      <c r="J534" s="15"/>
      <c r="V534" s="15"/>
      <c r="W534" s="15"/>
    </row>
    <row r="535">
      <c r="J535" s="15"/>
      <c r="V535" s="15"/>
      <c r="W535" s="15"/>
    </row>
    <row r="536">
      <c r="J536" s="15"/>
      <c r="V536" s="15"/>
      <c r="W536" s="15"/>
    </row>
    <row r="537">
      <c r="J537" s="15"/>
      <c r="V537" s="15"/>
      <c r="W537" s="15"/>
    </row>
    <row r="538">
      <c r="J538" s="15"/>
      <c r="V538" s="15"/>
      <c r="W538" s="15"/>
    </row>
    <row r="539">
      <c r="J539" s="15"/>
      <c r="V539" s="15"/>
      <c r="W539" s="15"/>
    </row>
    <row r="540">
      <c r="J540" s="15"/>
      <c r="V540" s="15"/>
      <c r="W540" s="15"/>
    </row>
    <row r="541">
      <c r="J541" s="15"/>
      <c r="V541" s="15"/>
      <c r="W541" s="15"/>
    </row>
    <row r="542">
      <c r="J542" s="15"/>
      <c r="V542" s="15"/>
      <c r="W542" s="15"/>
    </row>
    <row r="543">
      <c r="J543" s="15"/>
      <c r="V543" s="15"/>
      <c r="W543" s="15"/>
    </row>
    <row r="544">
      <c r="J544" s="15"/>
      <c r="V544" s="15"/>
      <c r="W544" s="15"/>
    </row>
    <row r="545">
      <c r="J545" s="15"/>
      <c r="V545" s="15"/>
      <c r="W545" s="15"/>
    </row>
    <row r="546">
      <c r="J546" s="15"/>
      <c r="V546" s="15"/>
      <c r="W546" s="15"/>
    </row>
    <row r="547">
      <c r="J547" s="15"/>
      <c r="V547" s="15"/>
      <c r="W547" s="15"/>
    </row>
    <row r="548">
      <c r="J548" s="15"/>
      <c r="V548" s="15"/>
      <c r="W548" s="15"/>
    </row>
    <row r="549">
      <c r="J549" s="15"/>
      <c r="V549" s="15"/>
      <c r="W549" s="15"/>
    </row>
    <row r="550">
      <c r="J550" s="15"/>
      <c r="V550" s="15"/>
      <c r="W550" s="15"/>
    </row>
    <row r="551">
      <c r="J551" s="15"/>
      <c r="V551" s="15"/>
      <c r="W551" s="15"/>
    </row>
    <row r="552">
      <c r="J552" s="15"/>
      <c r="V552" s="15"/>
      <c r="W552" s="15"/>
    </row>
    <row r="553">
      <c r="J553" s="15"/>
      <c r="V553" s="15"/>
      <c r="W553" s="15"/>
    </row>
    <row r="554">
      <c r="J554" s="15"/>
      <c r="V554" s="15"/>
      <c r="W554" s="15"/>
    </row>
    <row r="555">
      <c r="J555" s="15"/>
      <c r="V555" s="15"/>
      <c r="W555" s="15"/>
    </row>
    <row r="556">
      <c r="J556" s="15"/>
      <c r="V556" s="15"/>
      <c r="W556" s="15"/>
    </row>
    <row r="557">
      <c r="J557" s="15"/>
      <c r="V557" s="15"/>
      <c r="W557" s="15"/>
    </row>
    <row r="558">
      <c r="J558" s="15"/>
      <c r="V558" s="15"/>
      <c r="W558" s="15"/>
    </row>
    <row r="559">
      <c r="J559" s="15"/>
      <c r="V559" s="15"/>
      <c r="W559" s="15"/>
    </row>
    <row r="560">
      <c r="J560" s="15"/>
      <c r="V560" s="15"/>
      <c r="W560" s="15"/>
    </row>
    <row r="561">
      <c r="J561" s="15"/>
      <c r="V561" s="15"/>
      <c r="W561" s="15"/>
    </row>
    <row r="562">
      <c r="J562" s="15"/>
      <c r="V562" s="15"/>
      <c r="W562" s="15"/>
    </row>
    <row r="563">
      <c r="J563" s="15"/>
      <c r="V563" s="15"/>
      <c r="W563" s="15"/>
    </row>
    <row r="564">
      <c r="J564" s="15"/>
      <c r="V564" s="15"/>
      <c r="W564" s="15"/>
    </row>
    <row r="565">
      <c r="J565" s="15"/>
      <c r="V565" s="15"/>
      <c r="W565" s="15"/>
    </row>
    <row r="566">
      <c r="J566" s="15"/>
      <c r="V566" s="15"/>
      <c r="W566" s="15"/>
    </row>
    <row r="567">
      <c r="J567" s="15"/>
      <c r="V567" s="15"/>
      <c r="W567" s="15"/>
    </row>
    <row r="568">
      <c r="J568" s="15"/>
      <c r="V568" s="15"/>
      <c r="W568" s="15"/>
    </row>
    <row r="569">
      <c r="J569" s="15"/>
      <c r="V569" s="15"/>
      <c r="W569" s="15"/>
    </row>
    <row r="570">
      <c r="J570" s="15"/>
      <c r="V570" s="15"/>
      <c r="W570" s="15"/>
    </row>
    <row r="571">
      <c r="J571" s="15"/>
      <c r="V571" s="15"/>
      <c r="W571" s="15"/>
    </row>
    <row r="572">
      <c r="J572" s="15"/>
      <c r="V572" s="15"/>
      <c r="W572" s="15"/>
    </row>
    <row r="573">
      <c r="J573" s="15"/>
      <c r="V573" s="15"/>
      <c r="W573" s="15"/>
    </row>
    <row r="574">
      <c r="J574" s="15"/>
      <c r="V574" s="15"/>
      <c r="W574" s="15"/>
    </row>
    <row r="575">
      <c r="J575" s="15"/>
      <c r="V575" s="15"/>
      <c r="W575" s="15"/>
    </row>
    <row r="576">
      <c r="J576" s="15"/>
      <c r="V576" s="15"/>
      <c r="W576" s="15"/>
    </row>
    <row r="577">
      <c r="J577" s="15"/>
      <c r="V577" s="15"/>
      <c r="W577" s="15"/>
    </row>
    <row r="578">
      <c r="J578" s="15"/>
      <c r="V578" s="15"/>
      <c r="W578" s="15"/>
    </row>
    <row r="579">
      <c r="J579" s="15"/>
      <c r="V579" s="15"/>
      <c r="W579" s="15"/>
    </row>
    <row r="580">
      <c r="J580" s="15"/>
      <c r="V580" s="15"/>
      <c r="W580" s="15"/>
    </row>
    <row r="581">
      <c r="J581" s="15"/>
      <c r="V581" s="15"/>
      <c r="W581" s="15"/>
    </row>
    <row r="582">
      <c r="J582" s="15"/>
      <c r="V582" s="15"/>
      <c r="W582" s="15"/>
    </row>
    <row r="583">
      <c r="J583" s="15"/>
      <c r="V583" s="15"/>
      <c r="W583" s="15"/>
    </row>
    <row r="584">
      <c r="J584" s="15"/>
      <c r="V584" s="15"/>
      <c r="W584" s="15"/>
    </row>
    <row r="585">
      <c r="J585" s="15"/>
      <c r="V585" s="15"/>
      <c r="W585" s="15"/>
    </row>
    <row r="586">
      <c r="J586" s="15"/>
      <c r="V586" s="15"/>
      <c r="W586" s="15"/>
    </row>
    <row r="587">
      <c r="J587" s="15"/>
      <c r="V587" s="15"/>
      <c r="W587" s="15"/>
    </row>
    <row r="588">
      <c r="J588" s="15"/>
      <c r="V588" s="15"/>
      <c r="W588" s="15"/>
    </row>
    <row r="589">
      <c r="J589" s="15"/>
      <c r="V589" s="15"/>
      <c r="W589" s="15"/>
    </row>
    <row r="590">
      <c r="J590" s="15"/>
      <c r="V590" s="15"/>
      <c r="W590" s="15"/>
    </row>
    <row r="591">
      <c r="J591" s="15"/>
      <c r="V591" s="15"/>
      <c r="W591" s="15"/>
    </row>
    <row r="592">
      <c r="J592" s="15"/>
      <c r="V592" s="15"/>
      <c r="W592" s="15"/>
    </row>
    <row r="593">
      <c r="J593" s="15"/>
      <c r="V593" s="15"/>
      <c r="W593" s="15"/>
    </row>
    <row r="594">
      <c r="J594" s="15"/>
      <c r="V594" s="15"/>
      <c r="W594" s="15"/>
    </row>
    <row r="595">
      <c r="J595" s="15"/>
      <c r="V595" s="15"/>
      <c r="W595" s="15"/>
    </row>
    <row r="596">
      <c r="J596" s="15"/>
      <c r="V596" s="15"/>
      <c r="W596" s="15"/>
    </row>
    <row r="597">
      <c r="J597" s="15"/>
      <c r="V597" s="15"/>
      <c r="W597" s="15"/>
    </row>
    <row r="598">
      <c r="J598" s="15"/>
      <c r="V598" s="15"/>
      <c r="W598" s="15"/>
    </row>
    <row r="599">
      <c r="J599" s="15"/>
      <c r="V599" s="15"/>
      <c r="W599" s="15"/>
    </row>
    <row r="600">
      <c r="J600" s="15"/>
      <c r="V600" s="15"/>
      <c r="W600" s="15"/>
    </row>
    <row r="601">
      <c r="J601" s="15"/>
      <c r="V601" s="15"/>
      <c r="W601" s="15"/>
    </row>
    <row r="602">
      <c r="J602" s="15"/>
      <c r="V602" s="15"/>
      <c r="W602" s="15"/>
    </row>
    <row r="603">
      <c r="J603" s="15"/>
      <c r="V603" s="15"/>
      <c r="W603" s="15"/>
    </row>
    <row r="604">
      <c r="J604" s="15"/>
      <c r="V604" s="15"/>
      <c r="W604" s="15"/>
    </row>
    <row r="605">
      <c r="J605" s="15"/>
      <c r="V605" s="15"/>
      <c r="W605" s="15"/>
    </row>
    <row r="606">
      <c r="J606" s="15"/>
      <c r="V606" s="15"/>
      <c r="W606" s="15"/>
    </row>
    <row r="607">
      <c r="J607" s="15"/>
      <c r="V607" s="15"/>
      <c r="W607" s="15"/>
    </row>
    <row r="608">
      <c r="J608" s="15"/>
      <c r="V608" s="15"/>
      <c r="W608" s="15"/>
    </row>
    <row r="609">
      <c r="J609" s="15"/>
      <c r="V609" s="15"/>
      <c r="W609" s="15"/>
    </row>
    <row r="610">
      <c r="J610" s="15"/>
      <c r="V610" s="15"/>
      <c r="W610" s="15"/>
    </row>
    <row r="611">
      <c r="J611" s="15"/>
      <c r="V611" s="15"/>
      <c r="W611" s="15"/>
    </row>
    <row r="612">
      <c r="J612" s="15"/>
      <c r="V612" s="15"/>
      <c r="W612" s="15"/>
    </row>
    <row r="613">
      <c r="J613" s="15"/>
      <c r="V613" s="15"/>
      <c r="W613" s="15"/>
    </row>
    <row r="614">
      <c r="J614" s="15"/>
      <c r="V614" s="15"/>
      <c r="W614" s="15"/>
    </row>
    <row r="615">
      <c r="J615" s="15"/>
      <c r="V615" s="15"/>
      <c r="W615" s="15"/>
    </row>
    <row r="616">
      <c r="J616" s="15"/>
      <c r="V616" s="15"/>
      <c r="W616" s="15"/>
    </row>
    <row r="617">
      <c r="J617" s="15"/>
      <c r="V617" s="15"/>
      <c r="W617" s="15"/>
    </row>
    <row r="618">
      <c r="J618" s="15"/>
      <c r="V618" s="15"/>
      <c r="W618" s="15"/>
    </row>
    <row r="619">
      <c r="J619" s="15"/>
      <c r="V619" s="15"/>
      <c r="W619" s="15"/>
    </row>
    <row r="620">
      <c r="J620" s="15"/>
      <c r="V620" s="15"/>
      <c r="W620" s="15"/>
    </row>
    <row r="621">
      <c r="J621" s="15"/>
      <c r="V621" s="15"/>
      <c r="W621" s="15"/>
    </row>
    <row r="622">
      <c r="J622" s="15"/>
      <c r="V622" s="15"/>
      <c r="W622" s="15"/>
    </row>
    <row r="623">
      <c r="J623" s="15"/>
      <c r="V623" s="15"/>
      <c r="W623" s="15"/>
    </row>
    <row r="624">
      <c r="J624" s="15"/>
      <c r="V624" s="15"/>
      <c r="W624" s="15"/>
    </row>
    <row r="625">
      <c r="J625" s="15"/>
      <c r="V625" s="15"/>
      <c r="W625" s="15"/>
    </row>
    <row r="626">
      <c r="J626" s="15"/>
      <c r="V626" s="15"/>
      <c r="W626" s="15"/>
    </row>
    <row r="627">
      <c r="J627" s="15"/>
      <c r="V627" s="15"/>
      <c r="W627" s="15"/>
    </row>
    <row r="628">
      <c r="J628" s="15"/>
      <c r="V628" s="15"/>
      <c r="W628" s="15"/>
    </row>
    <row r="629">
      <c r="J629" s="15"/>
      <c r="V629" s="15"/>
      <c r="W629" s="15"/>
    </row>
    <row r="630">
      <c r="J630" s="15"/>
      <c r="V630" s="15"/>
      <c r="W630" s="15"/>
    </row>
    <row r="631">
      <c r="J631" s="15"/>
      <c r="V631" s="15"/>
      <c r="W631" s="15"/>
    </row>
    <row r="632">
      <c r="J632" s="15"/>
      <c r="V632" s="15"/>
      <c r="W632" s="15"/>
    </row>
    <row r="633">
      <c r="J633" s="15"/>
      <c r="V633" s="15"/>
      <c r="W633" s="15"/>
    </row>
    <row r="634">
      <c r="J634" s="15"/>
      <c r="V634" s="15"/>
      <c r="W634" s="15"/>
    </row>
    <row r="635">
      <c r="J635" s="15"/>
      <c r="V635" s="15"/>
      <c r="W635" s="15"/>
    </row>
    <row r="636">
      <c r="J636" s="15"/>
      <c r="V636" s="15"/>
      <c r="W636" s="15"/>
    </row>
    <row r="637">
      <c r="J637" s="15"/>
      <c r="V637" s="15"/>
      <c r="W637" s="15"/>
    </row>
    <row r="638">
      <c r="J638" s="15"/>
      <c r="V638" s="15"/>
      <c r="W638" s="15"/>
    </row>
    <row r="639">
      <c r="J639" s="15"/>
      <c r="V639" s="15"/>
      <c r="W639" s="15"/>
    </row>
    <row r="640">
      <c r="J640" s="15"/>
      <c r="V640" s="15"/>
      <c r="W640" s="15"/>
    </row>
    <row r="641">
      <c r="J641" s="15"/>
      <c r="V641" s="15"/>
      <c r="W641" s="15"/>
    </row>
    <row r="642">
      <c r="J642" s="15"/>
      <c r="V642" s="15"/>
      <c r="W642" s="15"/>
    </row>
    <row r="643">
      <c r="J643" s="15"/>
      <c r="V643" s="15"/>
      <c r="W643" s="15"/>
    </row>
    <row r="644">
      <c r="J644" s="15"/>
      <c r="V644" s="15"/>
      <c r="W644" s="15"/>
    </row>
    <row r="645">
      <c r="J645" s="15"/>
      <c r="V645" s="15"/>
      <c r="W645" s="15"/>
    </row>
    <row r="646">
      <c r="J646" s="15"/>
      <c r="V646" s="15"/>
      <c r="W646" s="15"/>
    </row>
    <row r="647">
      <c r="J647" s="15"/>
      <c r="V647" s="15"/>
      <c r="W647" s="15"/>
    </row>
    <row r="648">
      <c r="J648" s="15"/>
      <c r="V648" s="15"/>
      <c r="W648" s="15"/>
    </row>
    <row r="649">
      <c r="J649" s="15"/>
      <c r="V649" s="15"/>
      <c r="W649" s="15"/>
    </row>
    <row r="650">
      <c r="J650" s="15"/>
      <c r="V650" s="15"/>
      <c r="W650" s="15"/>
    </row>
    <row r="651">
      <c r="J651" s="15"/>
      <c r="V651" s="15"/>
      <c r="W651" s="15"/>
    </row>
    <row r="652">
      <c r="J652" s="15"/>
      <c r="V652" s="15"/>
      <c r="W652" s="15"/>
    </row>
    <row r="653">
      <c r="J653" s="15"/>
      <c r="V653" s="15"/>
      <c r="W653" s="15"/>
    </row>
    <row r="654">
      <c r="J654" s="15"/>
      <c r="V654" s="15"/>
      <c r="W654" s="15"/>
    </row>
    <row r="655">
      <c r="J655" s="15"/>
      <c r="V655" s="15"/>
      <c r="W655" s="15"/>
    </row>
    <row r="656">
      <c r="J656" s="15"/>
      <c r="V656" s="15"/>
      <c r="W656" s="15"/>
    </row>
    <row r="657">
      <c r="J657" s="15"/>
      <c r="V657" s="15"/>
      <c r="W657" s="15"/>
    </row>
    <row r="658">
      <c r="J658" s="15"/>
      <c r="V658" s="15"/>
      <c r="W658" s="15"/>
    </row>
    <row r="659">
      <c r="J659" s="15"/>
      <c r="V659" s="15"/>
      <c r="W659" s="15"/>
    </row>
    <row r="660">
      <c r="J660" s="15"/>
      <c r="V660" s="15"/>
      <c r="W660" s="15"/>
    </row>
    <row r="661">
      <c r="J661" s="15"/>
      <c r="V661" s="15"/>
      <c r="W661" s="15"/>
    </row>
    <row r="662">
      <c r="J662" s="15"/>
      <c r="V662" s="15"/>
      <c r="W662" s="15"/>
    </row>
    <row r="663">
      <c r="J663" s="15"/>
      <c r="V663" s="15"/>
      <c r="W663" s="15"/>
    </row>
    <row r="664">
      <c r="J664" s="15"/>
      <c r="V664" s="15"/>
      <c r="W664" s="15"/>
    </row>
    <row r="665">
      <c r="J665" s="15"/>
      <c r="V665" s="15"/>
      <c r="W665" s="15"/>
    </row>
    <row r="666">
      <c r="J666" s="15"/>
      <c r="V666" s="15"/>
      <c r="W666" s="15"/>
    </row>
    <row r="667">
      <c r="J667" s="15"/>
      <c r="V667" s="15"/>
      <c r="W667" s="15"/>
    </row>
    <row r="668">
      <c r="J668" s="15"/>
      <c r="V668" s="15"/>
      <c r="W668" s="15"/>
    </row>
    <row r="669">
      <c r="J669" s="15"/>
      <c r="V669" s="15"/>
      <c r="W669" s="15"/>
    </row>
    <row r="670">
      <c r="J670" s="15"/>
      <c r="V670" s="15"/>
      <c r="W670" s="15"/>
    </row>
    <row r="671">
      <c r="J671" s="15"/>
      <c r="V671" s="15"/>
      <c r="W671" s="15"/>
    </row>
    <row r="672">
      <c r="J672" s="15"/>
      <c r="V672" s="15"/>
      <c r="W672" s="15"/>
    </row>
    <row r="673">
      <c r="J673" s="15"/>
      <c r="V673" s="15"/>
      <c r="W673" s="15"/>
    </row>
    <row r="674">
      <c r="J674" s="15"/>
      <c r="V674" s="15"/>
      <c r="W674" s="15"/>
    </row>
    <row r="675">
      <c r="J675" s="15"/>
      <c r="V675" s="15"/>
      <c r="W675" s="15"/>
    </row>
    <row r="676">
      <c r="J676" s="15"/>
      <c r="V676" s="15"/>
      <c r="W676" s="15"/>
    </row>
    <row r="677">
      <c r="J677" s="15"/>
      <c r="V677" s="15"/>
      <c r="W677" s="15"/>
    </row>
    <row r="678">
      <c r="J678" s="15"/>
      <c r="V678" s="15"/>
      <c r="W678" s="15"/>
    </row>
    <row r="679">
      <c r="J679" s="15"/>
      <c r="V679" s="15"/>
      <c r="W679" s="15"/>
    </row>
    <row r="680">
      <c r="J680" s="15"/>
      <c r="V680" s="15"/>
      <c r="W680" s="15"/>
    </row>
    <row r="681">
      <c r="J681" s="15"/>
      <c r="V681" s="15"/>
      <c r="W681" s="15"/>
    </row>
    <row r="682">
      <c r="J682" s="15"/>
      <c r="V682" s="15"/>
      <c r="W682" s="15"/>
    </row>
    <row r="683">
      <c r="J683" s="15"/>
      <c r="V683" s="15"/>
      <c r="W683" s="15"/>
    </row>
    <row r="684">
      <c r="J684" s="15"/>
      <c r="V684" s="15"/>
      <c r="W684" s="15"/>
    </row>
    <row r="685">
      <c r="J685" s="15"/>
      <c r="V685" s="15"/>
      <c r="W685" s="15"/>
    </row>
    <row r="686">
      <c r="J686" s="15"/>
      <c r="V686" s="15"/>
      <c r="W686" s="15"/>
    </row>
    <row r="687">
      <c r="J687" s="15"/>
      <c r="V687" s="15"/>
      <c r="W687" s="15"/>
    </row>
    <row r="688">
      <c r="J688" s="15"/>
      <c r="V688" s="15"/>
      <c r="W688" s="15"/>
    </row>
    <row r="689">
      <c r="J689" s="15"/>
      <c r="V689" s="15"/>
      <c r="W689" s="15"/>
    </row>
    <row r="690">
      <c r="J690" s="15"/>
      <c r="V690" s="15"/>
      <c r="W690" s="15"/>
    </row>
    <row r="691">
      <c r="J691" s="15"/>
      <c r="V691" s="15"/>
      <c r="W691" s="15"/>
    </row>
    <row r="692">
      <c r="J692" s="15"/>
      <c r="V692" s="15"/>
      <c r="W692" s="15"/>
    </row>
    <row r="693">
      <c r="J693" s="15"/>
      <c r="V693" s="15"/>
      <c r="W693" s="15"/>
    </row>
    <row r="694">
      <c r="J694" s="15"/>
      <c r="V694" s="15"/>
      <c r="W694" s="15"/>
    </row>
    <row r="695">
      <c r="J695" s="15"/>
      <c r="V695" s="15"/>
      <c r="W695" s="15"/>
    </row>
    <row r="696">
      <c r="J696" s="15"/>
      <c r="V696" s="15"/>
      <c r="W696" s="15"/>
    </row>
    <row r="697">
      <c r="J697" s="15"/>
      <c r="V697" s="15"/>
      <c r="W697" s="15"/>
    </row>
    <row r="698">
      <c r="J698" s="15"/>
      <c r="V698" s="15"/>
      <c r="W698" s="15"/>
    </row>
    <row r="699">
      <c r="J699" s="15"/>
      <c r="V699" s="15"/>
      <c r="W699" s="15"/>
    </row>
    <row r="700">
      <c r="J700" s="15"/>
      <c r="V700" s="15"/>
      <c r="W700" s="15"/>
    </row>
    <row r="701">
      <c r="J701" s="15"/>
      <c r="V701" s="15"/>
      <c r="W701" s="15"/>
    </row>
    <row r="702">
      <c r="J702" s="15"/>
      <c r="V702" s="15"/>
      <c r="W702" s="15"/>
    </row>
    <row r="703">
      <c r="J703" s="15"/>
      <c r="V703" s="15"/>
      <c r="W703" s="15"/>
    </row>
    <row r="704">
      <c r="J704" s="15"/>
      <c r="V704" s="15"/>
      <c r="W704" s="15"/>
    </row>
    <row r="705">
      <c r="J705" s="15"/>
      <c r="V705" s="15"/>
      <c r="W705" s="15"/>
    </row>
    <row r="706">
      <c r="J706" s="15"/>
      <c r="V706" s="15"/>
      <c r="W706" s="15"/>
    </row>
    <row r="707">
      <c r="J707" s="15"/>
      <c r="V707" s="15"/>
      <c r="W707" s="15"/>
    </row>
    <row r="708">
      <c r="J708" s="15"/>
      <c r="V708" s="15"/>
      <c r="W708" s="15"/>
    </row>
    <row r="709">
      <c r="J709" s="15"/>
      <c r="V709" s="15"/>
      <c r="W709" s="15"/>
    </row>
    <row r="710">
      <c r="J710" s="15"/>
      <c r="V710" s="15"/>
      <c r="W710" s="15"/>
    </row>
    <row r="711">
      <c r="J711" s="15"/>
      <c r="V711" s="15"/>
      <c r="W711" s="15"/>
    </row>
    <row r="712">
      <c r="J712" s="15"/>
      <c r="V712" s="15"/>
      <c r="W712" s="15"/>
    </row>
    <row r="713">
      <c r="J713" s="15"/>
      <c r="V713" s="15"/>
      <c r="W713" s="15"/>
    </row>
    <row r="714">
      <c r="J714" s="15"/>
      <c r="V714" s="15"/>
      <c r="W714" s="15"/>
    </row>
    <row r="715">
      <c r="J715" s="15"/>
      <c r="V715" s="15"/>
      <c r="W715" s="15"/>
    </row>
    <row r="716">
      <c r="J716" s="15"/>
      <c r="V716" s="15"/>
      <c r="W716" s="15"/>
    </row>
    <row r="717">
      <c r="J717" s="15"/>
      <c r="V717" s="15"/>
      <c r="W717" s="15"/>
    </row>
    <row r="718">
      <c r="J718" s="15"/>
      <c r="V718" s="15"/>
      <c r="W718" s="15"/>
    </row>
    <row r="719">
      <c r="J719" s="15"/>
      <c r="V719" s="15"/>
      <c r="W719" s="15"/>
    </row>
    <row r="720">
      <c r="J720" s="15"/>
      <c r="V720" s="15"/>
      <c r="W720" s="15"/>
    </row>
    <row r="721">
      <c r="J721" s="15"/>
      <c r="V721" s="15"/>
      <c r="W721" s="15"/>
    </row>
    <row r="722">
      <c r="J722" s="15"/>
      <c r="V722" s="15"/>
      <c r="W722" s="15"/>
    </row>
    <row r="723">
      <c r="J723" s="15"/>
      <c r="V723" s="15"/>
      <c r="W723" s="15"/>
    </row>
    <row r="724">
      <c r="J724" s="15"/>
      <c r="V724" s="15"/>
      <c r="W724" s="15"/>
    </row>
    <row r="725">
      <c r="J725" s="15"/>
      <c r="V725" s="15"/>
      <c r="W725" s="15"/>
    </row>
    <row r="726">
      <c r="J726" s="15"/>
      <c r="V726" s="15"/>
      <c r="W726" s="15"/>
    </row>
    <row r="727">
      <c r="J727" s="15"/>
      <c r="V727" s="15"/>
      <c r="W727" s="15"/>
    </row>
    <row r="728">
      <c r="J728" s="15"/>
      <c r="V728" s="15"/>
      <c r="W728" s="15"/>
    </row>
    <row r="729">
      <c r="J729" s="15"/>
      <c r="V729" s="15"/>
      <c r="W729" s="15"/>
    </row>
    <row r="730">
      <c r="J730" s="15"/>
      <c r="V730" s="15"/>
      <c r="W730" s="15"/>
    </row>
    <row r="731">
      <c r="J731" s="15"/>
      <c r="V731" s="15"/>
      <c r="W731" s="15"/>
    </row>
    <row r="732">
      <c r="J732" s="15"/>
      <c r="V732" s="15"/>
      <c r="W732" s="15"/>
    </row>
    <row r="733">
      <c r="J733" s="15"/>
      <c r="V733" s="15"/>
      <c r="W733" s="15"/>
    </row>
    <row r="734">
      <c r="J734" s="15"/>
      <c r="V734" s="15"/>
      <c r="W734" s="15"/>
    </row>
    <row r="735">
      <c r="J735" s="15"/>
      <c r="V735" s="15"/>
      <c r="W735" s="15"/>
    </row>
    <row r="736">
      <c r="J736" s="15"/>
      <c r="V736" s="15"/>
      <c r="W736" s="15"/>
    </row>
    <row r="737">
      <c r="J737" s="15"/>
      <c r="V737" s="15"/>
      <c r="W737" s="15"/>
    </row>
    <row r="738">
      <c r="J738" s="15"/>
      <c r="V738" s="15"/>
      <c r="W738" s="15"/>
    </row>
    <row r="739">
      <c r="J739" s="15"/>
      <c r="V739" s="15"/>
      <c r="W739" s="15"/>
    </row>
    <row r="740">
      <c r="J740" s="15"/>
      <c r="V740" s="15"/>
      <c r="W740" s="15"/>
    </row>
    <row r="741">
      <c r="J741" s="15"/>
      <c r="V741" s="15"/>
      <c r="W741" s="15"/>
    </row>
    <row r="742">
      <c r="J742" s="15"/>
      <c r="V742" s="15"/>
      <c r="W742" s="15"/>
    </row>
    <row r="743">
      <c r="J743" s="15"/>
      <c r="V743" s="15"/>
      <c r="W743" s="15"/>
    </row>
    <row r="744">
      <c r="J744" s="15"/>
      <c r="V744" s="15"/>
      <c r="W744" s="15"/>
    </row>
    <row r="745">
      <c r="J745" s="15"/>
      <c r="V745" s="15"/>
      <c r="W745" s="15"/>
    </row>
    <row r="746">
      <c r="J746" s="15"/>
      <c r="V746" s="15"/>
      <c r="W746" s="15"/>
    </row>
    <row r="747">
      <c r="J747" s="15"/>
      <c r="V747" s="15"/>
      <c r="W747" s="15"/>
    </row>
    <row r="748">
      <c r="J748" s="15"/>
      <c r="V748" s="15"/>
      <c r="W748" s="15"/>
    </row>
    <row r="749">
      <c r="J749" s="15"/>
      <c r="V749" s="15"/>
      <c r="W749" s="15"/>
    </row>
    <row r="750">
      <c r="J750" s="15"/>
      <c r="V750" s="15"/>
      <c r="W750" s="15"/>
    </row>
    <row r="751">
      <c r="J751" s="15"/>
      <c r="V751" s="15"/>
      <c r="W751" s="15"/>
    </row>
    <row r="752">
      <c r="J752" s="15"/>
      <c r="V752" s="15"/>
      <c r="W752" s="15"/>
    </row>
    <row r="753">
      <c r="J753" s="15"/>
      <c r="V753" s="15"/>
      <c r="W753" s="15"/>
    </row>
    <row r="754">
      <c r="J754" s="15"/>
      <c r="V754" s="15"/>
      <c r="W754" s="15"/>
    </row>
    <row r="755">
      <c r="J755" s="15"/>
      <c r="V755" s="15"/>
      <c r="W755" s="15"/>
    </row>
    <row r="756">
      <c r="J756" s="15"/>
      <c r="V756" s="15"/>
      <c r="W756" s="15"/>
    </row>
    <row r="757">
      <c r="J757" s="15"/>
      <c r="V757" s="15"/>
      <c r="W757" s="15"/>
    </row>
    <row r="758">
      <c r="J758" s="15"/>
      <c r="V758" s="15"/>
      <c r="W758" s="15"/>
    </row>
    <row r="759">
      <c r="J759" s="15"/>
      <c r="V759" s="15"/>
      <c r="W759" s="15"/>
    </row>
    <row r="760">
      <c r="J760" s="15"/>
      <c r="V760" s="15"/>
      <c r="W760" s="15"/>
    </row>
    <row r="761">
      <c r="J761" s="15"/>
      <c r="V761" s="15"/>
      <c r="W761" s="15"/>
    </row>
    <row r="762">
      <c r="J762" s="15"/>
      <c r="V762" s="15"/>
      <c r="W762" s="15"/>
    </row>
    <row r="763">
      <c r="J763" s="15"/>
      <c r="V763" s="15"/>
      <c r="W763" s="15"/>
    </row>
    <row r="764">
      <c r="J764" s="15"/>
      <c r="V764" s="15"/>
      <c r="W764" s="15"/>
    </row>
    <row r="765">
      <c r="J765" s="15"/>
      <c r="V765" s="15"/>
      <c r="W765" s="15"/>
    </row>
    <row r="766">
      <c r="J766" s="15"/>
      <c r="V766" s="15"/>
      <c r="W766" s="15"/>
    </row>
    <row r="767">
      <c r="J767" s="15"/>
      <c r="V767" s="15"/>
      <c r="W767" s="15"/>
    </row>
    <row r="768">
      <c r="J768" s="15"/>
      <c r="V768" s="15"/>
      <c r="W768" s="15"/>
    </row>
    <row r="769">
      <c r="J769" s="15"/>
      <c r="V769" s="15"/>
      <c r="W769" s="15"/>
    </row>
    <row r="770">
      <c r="J770" s="15"/>
      <c r="V770" s="15"/>
      <c r="W770" s="15"/>
    </row>
    <row r="771">
      <c r="J771" s="15"/>
      <c r="V771" s="15"/>
      <c r="W771" s="15"/>
    </row>
    <row r="772">
      <c r="J772" s="15"/>
      <c r="V772" s="15"/>
      <c r="W772" s="15"/>
    </row>
    <row r="773">
      <c r="J773" s="15"/>
      <c r="V773" s="15"/>
      <c r="W773" s="15"/>
    </row>
    <row r="774">
      <c r="J774" s="15"/>
      <c r="V774" s="15"/>
      <c r="W774" s="15"/>
    </row>
    <row r="775">
      <c r="J775" s="15"/>
      <c r="V775" s="15"/>
      <c r="W775" s="15"/>
    </row>
    <row r="776">
      <c r="J776" s="15"/>
      <c r="V776" s="15"/>
      <c r="W776" s="15"/>
    </row>
    <row r="777">
      <c r="J777" s="15"/>
      <c r="V777" s="15"/>
      <c r="W777" s="15"/>
    </row>
    <row r="778">
      <c r="J778" s="15"/>
      <c r="V778" s="15"/>
      <c r="W778" s="15"/>
    </row>
    <row r="779">
      <c r="J779" s="15"/>
      <c r="V779" s="15"/>
      <c r="W779" s="15"/>
    </row>
    <row r="780">
      <c r="J780" s="15"/>
      <c r="V780" s="15"/>
      <c r="W780" s="15"/>
    </row>
    <row r="781">
      <c r="J781" s="15"/>
      <c r="V781" s="15"/>
      <c r="W781" s="15"/>
    </row>
    <row r="782">
      <c r="J782" s="15"/>
      <c r="V782" s="15"/>
      <c r="W782" s="15"/>
    </row>
    <row r="783">
      <c r="J783" s="15"/>
      <c r="V783" s="15"/>
      <c r="W783" s="15"/>
    </row>
    <row r="784">
      <c r="J784" s="15"/>
      <c r="V784" s="15"/>
      <c r="W784" s="15"/>
    </row>
    <row r="785">
      <c r="J785" s="15"/>
      <c r="V785" s="15"/>
      <c r="W785" s="15"/>
    </row>
    <row r="786">
      <c r="J786" s="15"/>
      <c r="V786" s="15"/>
      <c r="W786" s="15"/>
    </row>
    <row r="787">
      <c r="J787" s="15"/>
      <c r="V787" s="15"/>
      <c r="W787" s="15"/>
    </row>
    <row r="788">
      <c r="J788" s="15"/>
      <c r="V788" s="15"/>
      <c r="W788" s="15"/>
    </row>
    <row r="789">
      <c r="J789" s="15"/>
      <c r="V789" s="15"/>
      <c r="W789" s="15"/>
    </row>
    <row r="790">
      <c r="J790" s="15"/>
      <c r="V790" s="15"/>
      <c r="W790" s="15"/>
    </row>
    <row r="791">
      <c r="J791" s="15"/>
      <c r="V791" s="15"/>
      <c r="W791" s="15"/>
    </row>
    <row r="792">
      <c r="J792" s="15"/>
      <c r="V792" s="15"/>
      <c r="W792" s="15"/>
    </row>
    <row r="793">
      <c r="J793" s="15"/>
      <c r="V793" s="15"/>
      <c r="W793" s="15"/>
    </row>
    <row r="794">
      <c r="J794" s="15"/>
      <c r="V794" s="15"/>
      <c r="W794" s="15"/>
    </row>
    <row r="795">
      <c r="J795" s="15"/>
      <c r="V795" s="15"/>
      <c r="W795" s="15"/>
    </row>
    <row r="796">
      <c r="J796" s="15"/>
      <c r="V796" s="15"/>
      <c r="W796" s="15"/>
    </row>
    <row r="797">
      <c r="J797" s="15"/>
      <c r="V797" s="15"/>
      <c r="W797" s="15"/>
    </row>
    <row r="798">
      <c r="J798" s="15"/>
      <c r="V798" s="15"/>
      <c r="W798" s="15"/>
    </row>
    <row r="799">
      <c r="J799" s="15"/>
      <c r="V799" s="15"/>
      <c r="W799" s="15"/>
    </row>
    <row r="800">
      <c r="J800" s="15"/>
      <c r="V800" s="15"/>
      <c r="W800" s="15"/>
    </row>
    <row r="801">
      <c r="J801" s="15"/>
      <c r="V801" s="15"/>
      <c r="W801" s="15"/>
    </row>
    <row r="802">
      <c r="J802" s="15"/>
      <c r="V802" s="15"/>
      <c r="W802" s="15"/>
    </row>
    <row r="803">
      <c r="J803" s="15"/>
      <c r="V803" s="15"/>
      <c r="W803" s="15"/>
    </row>
    <row r="804">
      <c r="J804" s="15"/>
      <c r="V804" s="15"/>
      <c r="W804" s="15"/>
    </row>
    <row r="805">
      <c r="J805" s="15"/>
      <c r="V805" s="15"/>
      <c r="W805" s="15"/>
    </row>
    <row r="806">
      <c r="J806" s="15"/>
      <c r="V806" s="15"/>
      <c r="W806" s="15"/>
    </row>
    <row r="807">
      <c r="J807" s="15"/>
      <c r="V807" s="15"/>
      <c r="W807" s="15"/>
    </row>
    <row r="808">
      <c r="J808" s="15"/>
      <c r="V808" s="15"/>
      <c r="W808" s="15"/>
    </row>
    <row r="809">
      <c r="J809" s="15"/>
      <c r="V809" s="15"/>
      <c r="W809" s="15"/>
    </row>
    <row r="810">
      <c r="J810" s="15"/>
      <c r="V810" s="15"/>
      <c r="W810" s="15"/>
    </row>
    <row r="811">
      <c r="J811" s="15"/>
      <c r="V811" s="15"/>
      <c r="W811" s="15"/>
    </row>
    <row r="812">
      <c r="J812" s="15"/>
      <c r="V812" s="15"/>
      <c r="W812" s="15"/>
    </row>
    <row r="813">
      <c r="J813" s="15"/>
      <c r="V813" s="15"/>
      <c r="W813" s="15"/>
    </row>
    <row r="814">
      <c r="J814" s="15"/>
      <c r="V814" s="15"/>
      <c r="W814" s="15"/>
    </row>
    <row r="815">
      <c r="J815" s="15"/>
      <c r="V815" s="15"/>
      <c r="W815" s="15"/>
    </row>
    <row r="816">
      <c r="J816" s="15"/>
      <c r="V816" s="15"/>
      <c r="W816" s="15"/>
    </row>
    <row r="817">
      <c r="J817" s="15"/>
      <c r="V817" s="15"/>
      <c r="W817" s="15"/>
    </row>
    <row r="818">
      <c r="J818" s="15"/>
      <c r="V818" s="15"/>
      <c r="W818" s="15"/>
    </row>
    <row r="819">
      <c r="J819" s="15"/>
      <c r="V819" s="15"/>
      <c r="W819" s="15"/>
    </row>
    <row r="820">
      <c r="J820" s="15"/>
      <c r="V820" s="15"/>
      <c r="W820" s="15"/>
    </row>
    <row r="821">
      <c r="J821" s="15"/>
      <c r="V821" s="15"/>
      <c r="W821" s="15"/>
    </row>
    <row r="822">
      <c r="J822" s="15"/>
      <c r="V822" s="15"/>
      <c r="W822" s="15"/>
    </row>
    <row r="823">
      <c r="J823" s="15"/>
      <c r="V823" s="15"/>
      <c r="W823" s="15"/>
    </row>
    <row r="824">
      <c r="J824" s="15"/>
      <c r="V824" s="15"/>
      <c r="W824" s="15"/>
    </row>
    <row r="825">
      <c r="J825" s="15"/>
      <c r="V825" s="15"/>
      <c r="W825" s="15"/>
    </row>
    <row r="826">
      <c r="J826" s="15"/>
      <c r="V826" s="15"/>
      <c r="W826" s="15"/>
    </row>
    <row r="827">
      <c r="J827" s="15"/>
      <c r="V827" s="15"/>
      <c r="W827" s="15"/>
    </row>
    <row r="828">
      <c r="J828" s="15"/>
      <c r="V828" s="15"/>
      <c r="W828" s="15"/>
    </row>
    <row r="829">
      <c r="J829" s="15"/>
      <c r="V829" s="15"/>
      <c r="W829" s="15"/>
    </row>
    <row r="830">
      <c r="J830" s="15"/>
      <c r="V830" s="15"/>
      <c r="W830" s="15"/>
    </row>
    <row r="831">
      <c r="J831" s="15"/>
      <c r="V831" s="15"/>
      <c r="W831" s="15"/>
    </row>
    <row r="832">
      <c r="J832" s="15"/>
      <c r="V832" s="15"/>
      <c r="W832" s="15"/>
    </row>
    <row r="833">
      <c r="J833" s="15"/>
      <c r="V833" s="15"/>
      <c r="W833" s="15"/>
    </row>
    <row r="834">
      <c r="J834" s="15"/>
      <c r="V834" s="15"/>
      <c r="W834" s="15"/>
    </row>
    <row r="835">
      <c r="J835" s="15"/>
      <c r="V835" s="15"/>
      <c r="W835" s="15"/>
    </row>
    <row r="836">
      <c r="J836" s="15"/>
      <c r="V836" s="15"/>
      <c r="W836" s="15"/>
    </row>
    <row r="837">
      <c r="J837" s="15"/>
      <c r="V837" s="15"/>
      <c r="W837" s="15"/>
    </row>
    <row r="838">
      <c r="J838" s="15"/>
      <c r="V838" s="15"/>
      <c r="W838" s="15"/>
    </row>
    <row r="839">
      <c r="J839" s="15"/>
      <c r="V839" s="15"/>
      <c r="W839" s="15"/>
    </row>
    <row r="840">
      <c r="J840" s="15"/>
      <c r="V840" s="15"/>
      <c r="W840" s="15"/>
    </row>
    <row r="841">
      <c r="J841" s="15"/>
      <c r="V841" s="15"/>
      <c r="W841" s="15"/>
    </row>
    <row r="842">
      <c r="J842" s="15"/>
      <c r="V842" s="15"/>
      <c r="W842" s="15"/>
    </row>
    <row r="843">
      <c r="J843" s="15"/>
      <c r="V843" s="15"/>
      <c r="W843" s="15"/>
    </row>
    <row r="844">
      <c r="J844" s="15"/>
      <c r="V844" s="15"/>
      <c r="W844" s="15"/>
    </row>
    <row r="845">
      <c r="J845" s="15"/>
      <c r="V845" s="15"/>
      <c r="W845" s="15"/>
    </row>
    <row r="846">
      <c r="J846" s="15"/>
      <c r="V846" s="15"/>
      <c r="W846" s="15"/>
    </row>
    <row r="847">
      <c r="J847" s="15"/>
      <c r="V847" s="15"/>
      <c r="W847" s="15"/>
    </row>
    <row r="848">
      <c r="J848" s="15"/>
      <c r="V848" s="15"/>
      <c r="W848" s="15"/>
    </row>
    <row r="849">
      <c r="J849" s="15"/>
      <c r="V849" s="15"/>
      <c r="W849" s="15"/>
    </row>
    <row r="850">
      <c r="J850" s="15"/>
      <c r="V850" s="15"/>
      <c r="W850" s="15"/>
    </row>
    <row r="851">
      <c r="J851" s="15"/>
      <c r="V851" s="15"/>
      <c r="W851" s="15"/>
    </row>
    <row r="852">
      <c r="J852" s="15"/>
      <c r="V852" s="15"/>
      <c r="W852" s="15"/>
    </row>
    <row r="853">
      <c r="J853" s="15"/>
      <c r="V853" s="15"/>
      <c r="W853" s="15"/>
    </row>
    <row r="854">
      <c r="J854" s="15"/>
      <c r="V854" s="15"/>
      <c r="W854" s="15"/>
    </row>
    <row r="855">
      <c r="J855" s="15"/>
      <c r="V855" s="15"/>
      <c r="W855" s="15"/>
    </row>
    <row r="856">
      <c r="J856" s="15"/>
      <c r="V856" s="15"/>
      <c r="W856" s="15"/>
    </row>
    <row r="857">
      <c r="J857" s="15"/>
      <c r="V857" s="15"/>
      <c r="W857" s="15"/>
    </row>
    <row r="858">
      <c r="J858" s="15"/>
      <c r="V858" s="15"/>
      <c r="W858" s="15"/>
    </row>
    <row r="859">
      <c r="J859" s="15"/>
      <c r="V859" s="15"/>
      <c r="W859" s="15"/>
    </row>
    <row r="860">
      <c r="J860" s="15"/>
      <c r="V860" s="15"/>
      <c r="W860" s="15"/>
    </row>
    <row r="861">
      <c r="J861" s="15"/>
      <c r="V861" s="15"/>
      <c r="W861" s="15"/>
    </row>
    <row r="862">
      <c r="J862" s="15"/>
      <c r="V862" s="15"/>
      <c r="W862" s="15"/>
    </row>
    <row r="863">
      <c r="J863" s="15"/>
      <c r="V863" s="15"/>
      <c r="W863" s="15"/>
    </row>
    <row r="864">
      <c r="J864" s="15"/>
      <c r="V864" s="15"/>
      <c r="W864" s="15"/>
    </row>
    <row r="865">
      <c r="J865" s="15"/>
      <c r="V865" s="15"/>
      <c r="W865" s="15"/>
    </row>
    <row r="866">
      <c r="J866" s="15"/>
      <c r="V866" s="15"/>
      <c r="W866" s="15"/>
    </row>
    <row r="867">
      <c r="J867" s="15"/>
      <c r="V867" s="15"/>
      <c r="W867" s="15"/>
    </row>
    <row r="868">
      <c r="J868" s="15"/>
      <c r="V868" s="15"/>
      <c r="W868" s="15"/>
    </row>
    <row r="869">
      <c r="J869" s="15"/>
      <c r="V869" s="15"/>
      <c r="W869" s="15"/>
    </row>
    <row r="870">
      <c r="J870" s="15"/>
      <c r="V870" s="15"/>
      <c r="W870" s="15"/>
    </row>
    <row r="871">
      <c r="J871" s="15"/>
      <c r="V871" s="15"/>
      <c r="W871" s="15"/>
    </row>
    <row r="872">
      <c r="J872" s="15"/>
      <c r="V872" s="15"/>
      <c r="W872" s="15"/>
    </row>
    <row r="873">
      <c r="J873" s="15"/>
      <c r="V873" s="15"/>
      <c r="W873" s="15"/>
    </row>
    <row r="874">
      <c r="J874" s="15"/>
      <c r="V874" s="15"/>
      <c r="W874" s="15"/>
    </row>
    <row r="875">
      <c r="J875" s="15"/>
      <c r="V875" s="15"/>
      <c r="W875" s="15"/>
    </row>
    <row r="876">
      <c r="J876" s="15"/>
      <c r="V876" s="15"/>
      <c r="W876" s="15"/>
    </row>
    <row r="877">
      <c r="J877" s="15"/>
      <c r="V877" s="15"/>
      <c r="W877" s="15"/>
    </row>
    <row r="878">
      <c r="J878" s="15"/>
      <c r="V878" s="15"/>
      <c r="W878" s="15"/>
    </row>
    <row r="879">
      <c r="J879" s="15"/>
      <c r="V879" s="15"/>
      <c r="W879" s="15"/>
    </row>
    <row r="880">
      <c r="J880" s="15"/>
      <c r="V880" s="15"/>
      <c r="W880" s="15"/>
    </row>
    <row r="881">
      <c r="J881" s="15"/>
      <c r="V881" s="15"/>
      <c r="W881" s="15"/>
    </row>
    <row r="882">
      <c r="J882" s="15"/>
      <c r="V882" s="15"/>
      <c r="W882" s="15"/>
    </row>
    <row r="883">
      <c r="J883" s="15"/>
      <c r="V883" s="15"/>
      <c r="W883" s="15"/>
    </row>
    <row r="884">
      <c r="J884" s="15"/>
      <c r="V884" s="15"/>
      <c r="W884" s="15"/>
    </row>
    <row r="885">
      <c r="J885" s="15"/>
      <c r="V885" s="15"/>
      <c r="W885" s="15"/>
    </row>
    <row r="886">
      <c r="J886" s="15"/>
      <c r="V886" s="15"/>
      <c r="W886" s="15"/>
    </row>
    <row r="887">
      <c r="J887" s="15"/>
      <c r="V887" s="15"/>
      <c r="W887" s="15"/>
    </row>
    <row r="888">
      <c r="J888" s="15"/>
      <c r="V888" s="15"/>
      <c r="W888" s="15"/>
    </row>
    <row r="889">
      <c r="J889" s="15"/>
      <c r="V889" s="15"/>
      <c r="W889" s="15"/>
    </row>
    <row r="890">
      <c r="J890" s="15"/>
      <c r="V890" s="15"/>
      <c r="W890" s="15"/>
    </row>
    <row r="891">
      <c r="J891" s="15"/>
      <c r="V891" s="15"/>
      <c r="W891" s="15"/>
    </row>
    <row r="892">
      <c r="J892" s="15"/>
      <c r="V892" s="15"/>
      <c r="W892" s="15"/>
    </row>
    <row r="893">
      <c r="J893" s="15"/>
      <c r="V893" s="15"/>
      <c r="W893" s="15"/>
    </row>
    <row r="894">
      <c r="J894" s="15"/>
      <c r="V894" s="15"/>
      <c r="W894" s="15"/>
    </row>
    <row r="895">
      <c r="J895" s="15"/>
      <c r="V895" s="15"/>
      <c r="W895" s="15"/>
    </row>
    <row r="896">
      <c r="J896" s="15"/>
      <c r="V896" s="15"/>
      <c r="W896" s="15"/>
    </row>
    <row r="897">
      <c r="J897" s="15"/>
      <c r="V897" s="15"/>
      <c r="W897" s="15"/>
    </row>
    <row r="898">
      <c r="J898" s="15"/>
      <c r="V898" s="15"/>
      <c r="W898" s="15"/>
    </row>
    <row r="899">
      <c r="J899" s="15"/>
      <c r="V899" s="15"/>
      <c r="W899" s="15"/>
    </row>
    <row r="900">
      <c r="J900" s="15"/>
      <c r="V900" s="15"/>
      <c r="W900" s="15"/>
    </row>
    <row r="901">
      <c r="J901" s="15"/>
      <c r="V901" s="15"/>
      <c r="W901" s="15"/>
    </row>
    <row r="902">
      <c r="J902" s="15"/>
      <c r="V902" s="15"/>
      <c r="W902" s="15"/>
    </row>
    <row r="903">
      <c r="J903" s="15"/>
      <c r="V903" s="15"/>
      <c r="W903" s="15"/>
    </row>
    <row r="904">
      <c r="J904" s="15"/>
      <c r="V904" s="15"/>
      <c r="W904" s="15"/>
    </row>
    <row r="905">
      <c r="J905" s="15"/>
      <c r="V905" s="15"/>
      <c r="W905" s="15"/>
    </row>
    <row r="906">
      <c r="J906" s="15"/>
      <c r="V906" s="15"/>
      <c r="W906" s="15"/>
    </row>
    <row r="907">
      <c r="J907" s="15"/>
      <c r="V907" s="15"/>
      <c r="W907" s="15"/>
    </row>
    <row r="908">
      <c r="J908" s="15"/>
      <c r="V908" s="15"/>
      <c r="W908" s="15"/>
    </row>
    <row r="909">
      <c r="J909" s="15"/>
      <c r="V909" s="15"/>
      <c r="W909" s="15"/>
    </row>
    <row r="910">
      <c r="J910" s="15"/>
      <c r="V910" s="15"/>
      <c r="W910" s="15"/>
    </row>
    <row r="911">
      <c r="J911" s="15"/>
      <c r="V911" s="15"/>
      <c r="W911" s="15"/>
    </row>
    <row r="912">
      <c r="J912" s="15"/>
      <c r="V912" s="15"/>
      <c r="W912" s="15"/>
    </row>
    <row r="913">
      <c r="J913" s="15"/>
      <c r="V913" s="15"/>
      <c r="W913" s="15"/>
    </row>
    <row r="914">
      <c r="J914" s="15"/>
      <c r="V914" s="15"/>
      <c r="W914" s="15"/>
    </row>
    <row r="915">
      <c r="J915" s="15"/>
      <c r="V915" s="15"/>
      <c r="W915" s="15"/>
    </row>
    <row r="916">
      <c r="J916" s="15"/>
      <c r="V916" s="15"/>
      <c r="W916" s="15"/>
    </row>
    <row r="917">
      <c r="J917" s="15"/>
      <c r="V917" s="15"/>
      <c r="W917" s="15"/>
    </row>
    <row r="918">
      <c r="J918" s="15"/>
      <c r="V918" s="15"/>
      <c r="W918" s="15"/>
    </row>
    <row r="919">
      <c r="J919" s="15"/>
      <c r="V919" s="15"/>
      <c r="W919" s="15"/>
    </row>
    <row r="920">
      <c r="J920" s="15"/>
      <c r="V920" s="15"/>
      <c r="W920" s="15"/>
    </row>
    <row r="921">
      <c r="J921" s="15"/>
      <c r="V921" s="15"/>
      <c r="W921" s="15"/>
    </row>
    <row r="922">
      <c r="J922" s="15"/>
      <c r="V922" s="15"/>
      <c r="W922" s="15"/>
    </row>
    <row r="923">
      <c r="J923" s="15"/>
      <c r="V923" s="15"/>
      <c r="W923" s="15"/>
    </row>
    <row r="924">
      <c r="J924" s="15"/>
      <c r="V924" s="15"/>
      <c r="W924" s="15"/>
    </row>
    <row r="925">
      <c r="J925" s="15"/>
      <c r="V925" s="15"/>
      <c r="W925" s="15"/>
    </row>
    <row r="926">
      <c r="J926" s="15"/>
      <c r="V926" s="15"/>
      <c r="W926" s="15"/>
    </row>
    <row r="927">
      <c r="J927" s="15"/>
      <c r="V927" s="15"/>
      <c r="W927" s="15"/>
    </row>
    <row r="928">
      <c r="J928" s="15"/>
      <c r="V928" s="15"/>
      <c r="W928" s="15"/>
    </row>
    <row r="929">
      <c r="J929" s="15"/>
      <c r="V929" s="15"/>
      <c r="W929" s="15"/>
    </row>
    <row r="930">
      <c r="J930" s="15"/>
      <c r="V930" s="15"/>
      <c r="W930" s="15"/>
    </row>
    <row r="931">
      <c r="J931" s="15"/>
      <c r="V931" s="15"/>
      <c r="W931" s="15"/>
    </row>
    <row r="932">
      <c r="J932" s="15"/>
      <c r="V932" s="15"/>
      <c r="W932" s="15"/>
    </row>
    <row r="933">
      <c r="J933" s="15"/>
      <c r="V933" s="15"/>
      <c r="W933" s="15"/>
    </row>
    <row r="934">
      <c r="J934" s="15"/>
      <c r="V934" s="15"/>
      <c r="W934" s="15"/>
    </row>
    <row r="935">
      <c r="J935" s="15"/>
      <c r="V935" s="15"/>
      <c r="W935" s="15"/>
    </row>
    <row r="936">
      <c r="J936" s="15"/>
      <c r="V936" s="15"/>
      <c r="W936" s="15"/>
    </row>
    <row r="937">
      <c r="J937" s="15"/>
      <c r="V937" s="15"/>
      <c r="W937" s="15"/>
    </row>
    <row r="938">
      <c r="J938" s="15"/>
      <c r="V938" s="15"/>
      <c r="W938" s="15"/>
    </row>
    <row r="939">
      <c r="J939" s="15"/>
      <c r="V939" s="15"/>
      <c r="W939" s="15"/>
    </row>
    <row r="940">
      <c r="J940" s="15"/>
      <c r="V940" s="15"/>
      <c r="W940" s="15"/>
    </row>
    <row r="941">
      <c r="J941" s="15"/>
      <c r="V941" s="15"/>
      <c r="W941" s="15"/>
    </row>
    <row r="942">
      <c r="J942" s="15"/>
      <c r="V942" s="15"/>
      <c r="W942" s="15"/>
    </row>
    <row r="943">
      <c r="J943" s="15"/>
      <c r="V943" s="15"/>
      <c r="W943" s="15"/>
    </row>
    <row r="944">
      <c r="J944" s="15"/>
      <c r="V944" s="15"/>
      <c r="W944" s="15"/>
    </row>
    <row r="945">
      <c r="J945" s="15"/>
      <c r="V945" s="15"/>
      <c r="W945" s="15"/>
    </row>
    <row r="946">
      <c r="J946" s="15"/>
      <c r="V946" s="15"/>
      <c r="W946" s="15"/>
    </row>
    <row r="947">
      <c r="J947" s="15"/>
      <c r="V947" s="15"/>
      <c r="W947" s="15"/>
    </row>
    <row r="948">
      <c r="J948" s="15"/>
      <c r="V948" s="15"/>
      <c r="W948" s="15"/>
    </row>
    <row r="949">
      <c r="J949" s="15"/>
      <c r="V949" s="15"/>
      <c r="W949" s="15"/>
    </row>
    <row r="950">
      <c r="J950" s="15"/>
      <c r="V950" s="15"/>
      <c r="W950" s="15"/>
    </row>
    <row r="951">
      <c r="J951" s="15"/>
      <c r="V951" s="15"/>
      <c r="W951" s="15"/>
    </row>
    <row r="952">
      <c r="J952" s="15"/>
      <c r="V952" s="15"/>
      <c r="W952" s="15"/>
    </row>
    <row r="953">
      <c r="J953" s="15"/>
      <c r="V953" s="15"/>
      <c r="W953" s="15"/>
    </row>
    <row r="954">
      <c r="J954" s="15"/>
      <c r="V954" s="15"/>
      <c r="W954" s="15"/>
    </row>
    <row r="955">
      <c r="J955" s="15"/>
      <c r="V955" s="15"/>
      <c r="W955" s="15"/>
    </row>
    <row r="956">
      <c r="J956" s="15"/>
      <c r="V956" s="15"/>
      <c r="W956" s="15"/>
    </row>
    <row r="957">
      <c r="J957" s="15"/>
      <c r="V957" s="15"/>
      <c r="W957" s="15"/>
    </row>
    <row r="958">
      <c r="J958" s="15"/>
      <c r="V958" s="15"/>
      <c r="W958" s="15"/>
    </row>
    <row r="959">
      <c r="J959" s="15"/>
      <c r="V959" s="15"/>
      <c r="W959" s="15"/>
    </row>
    <row r="960">
      <c r="J960" s="15"/>
      <c r="V960" s="15"/>
      <c r="W960" s="15"/>
    </row>
    <row r="961">
      <c r="J961" s="15"/>
      <c r="V961" s="15"/>
      <c r="W961" s="15"/>
    </row>
    <row r="962">
      <c r="J962" s="15"/>
      <c r="V962" s="15"/>
      <c r="W962" s="15"/>
    </row>
    <row r="963">
      <c r="J963" s="15"/>
      <c r="V963" s="15"/>
      <c r="W963" s="15"/>
    </row>
    <row r="964">
      <c r="J964" s="15"/>
      <c r="V964" s="15"/>
      <c r="W964" s="15"/>
    </row>
    <row r="965">
      <c r="J965" s="15"/>
      <c r="V965" s="15"/>
      <c r="W965" s="15"/>
    </row>
    <row r="966">
      <c r="J966" s="15"/>
      <c r="V966" s="15"/>
      <c r="W966" s="15"/>
    </row>
    <row r="967">
      <c r="J967" s="15"/>
      <c r="V967" s="15"/>
      <c r="W967" s="15"/>
    </row>
    <row r="968">
      <c r="J968" s="15"/>
      <c r="V968" s="15"/>
      <c r="W968" s="15"/>
    </row>
    <row r="969">
      <c r="J969" s="15"/>
      <c r="V969" s="15"/>
      <c r="W969" s="15"/>
    </row>
    <row r="970">
      <c r="J970" s="15"/>
      <c r="V970" s="15"/>
      <c r="W970" s="15"/>
    </row>
    <row r="971">
      <c r="J971" s="15"/>
      <c r="V971" s="15"/>
      <c r="W971" s="15"/>
    </row>
    <row r="972">
      <c r="J972" s="15"/>
      <c r="V972" s="15"/>
      <c r="W972" s="15"/>
    </row>
    <row r="973">
      <c r="J973" s="15"/>
      <c r="V973" s="15"/>
      <c r="W973" s="15"/>
    </row>
    <row r="974">
      <c r="J974" s="15"/>
      <c r="V974" s="15"/>
      <c r="W974" s="15"/>
    </row>
    <row r="975">
      <c r="J975" s="15"/>
      <c r="V975" s="15"/>
      <c r="W975" s="15"/>
    </row>
    <row r="976">
      <c r="J976" s="15"/>
      <c r="V976" s="15"/>
      <c r="W976" s="15"/>
    </row>
    <row r="977">
      <c r="J977" s="15"/>
      <c r="V977" s="15"/>
      <c r="W977" s="15"/>
    </row>
    <row r="978">
      <c r="J978" s="15"/>
      <c r="V978" s="15"/>
      <c r="W978" s="15"/>
    </row>
    <row r="979">
      <c r="J979" s="15"/>
      <c r="V979" s="15"/>
      <c r="W979" s="15"/>
    </row>
    <row r="980">
      <c r="J980" s="15"/>
      <c r="V980" s="15"/>
      <c r="W980" s="15"/>
    </row>
    <row r="981">
      <c r="J981" s="15"/>
      <c r="V981" s="15"/>
      <c r="W981" s="15"/>
    </row>
    <row r="982">
      <c r="J982" s="15"/>
      <c r="V982" s="15"/>
      <c r="W982" s="15"/>
    </row>
    <row r="983">
      <c r="J983" s="15"/>
      <c r="V983" s="15"/>
      <c r="W983" s="15"/>
    </row>
    <row r="984">
      <c r="J984" s="15"/>
      <c r="V984" s="15"/>
      <c r="W984" s="15"/>
    </row>
    <row r="985">
      <c r="J985" s="15"/>
      <c r="V985" s="15"/>
      <c r="W985" s="15"/>
    </row>
    <row r="986">
      <c r="J986" s="15"/>
      <c r="V986" s="15"/>
      <c r="W986" s="15"/>
    </row>
    <row r="987">
      <c r="J987" s="15"/>
      <c r="V987" s="15"/>
      <c r="W987" s="15"/>
    </row>
    <row r="988">
      <c r="J988" s="15"/>
      <c r="V988" s="15"/>
      <c r="W988" s="15"/>
    </row>
    <row r="989">
      <c r="J989" s="15"/>
      <c r="V989" s="15"/>
      <c r="W989" s="15"/>
    </row>
    <row r="990">
      <c r="J990" s="15"/>
      <c r="V990" s="15"/>
      <c r="W990" s="15"/>
    </row>
    <row r="991">
      <c r="J991" s="15"/>
      <c r="V991" s="15"/>
      <c r="W991" s="15"/>
    </row>
    <row r="992">
      <c r="J992" s="15"/>
      <c r="V992" s="15"/>
      <c r="W992" s="15"/>
    </row>
    <row r="993">
      <c r="J993" s="15"/>
      <c r="V993" s="15"/>
      <c r="W993" s="15"/>
    </row>
    <row r="994">
      <c r="J994" s="15"/>
      <c r="V994" s="15"/>
      <c r="W994" s="15"/>
    </row>
    <row r="995">
      <c r="J995" s="15"/>
      <c r="V995" s="15"/>
      <c r="W995" s="15"/>
    </row>
    <row r="996">
      <c r="J996" s="15"/>
      <c r="V996" s="15"/>
      <c r="W996" s="15"/>
    </row>
    <row r="997">
      <c r="J997" s="15"/>
      <c r="V997" s="15"/>
      <c r="W997" s="15"/>
    </row>
    <row r="998">
      <c r="J998" s="15"/>
      <c r="V998" s="15"/>
      <c r="W998" s="15"/>
    </row>
    <row r="999">
      <c r="J999" s="15"/>
      <c r="V999" s="15"/>
      <c r="W999" s="15"/>
    </row>
  </sheetData>
  <autoFilter ref="$B$6:$J$34"/>
  <mergeCells count="4">
    <mergeCell ref="B2:C2"/>
    <mergeCell ref="L6:O6"/>
    <mergeCell ref="Q6:R6"/>
    <mergeCell ref="T6:X6"/>
  </mergeCells>
  <conditionalFormatting sqref="G7:G34">
    <cfRule type="colorScale" priority="1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C6:C34">
    <cfRule type="colorScale" priority="2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U8:U13">
    <cfRule type="cellIs" dxfId="0" priority="3" operator="lessThanOrEqual">
      <formula>MEDIAN($C$7:$C$34)</formula>
    </cfRule>
  </conditionalFormatting>
  <conditionalFormatting sqref="U8:U13">
    <cfRule type="cellIs" dxfId="1" priority="4" operator="greaterThan">
      <formula>MEDIAN($C$7:$C$34)</formula>
    </cfRule>
  </conditionalFormatting>
  <conditionalFormatting sqref="R9">
    <cfRule type="cellIs" dxfId="0" priority="5" operator="lessThanOrEqual">
      <formula>COUNT($B:$B) - (#REF! + #REF!)</formula>
    </cfRule>
  </conditionalFormatting>
  <conditionalFormatting sqref="R9">
    <cfRule type="cellIs" dxfId="1" priority="6" operator="greaterThan">
      <formula>COUNT($B:$B) - (#REF! + #REF!)</formula>
    </cfRule>
  </conditionalFormatting>
  <conditionalFormatting sqref="J7:J34">
    <cfRule type="cellIs" dxfId="0" priority="7" operator="equal">
      <formula>"Sim"</formula>
    </cfRule>
  </conditionalFormatting>
  <conditionalFormatting sqref="J7:J34">
    <cfRule type="cellIs" dxfId="1" priority="8" operator="equal">
      <formula>"Não"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13"/>
    <col customWidth="1" min="2" max="2" width="12.63"/>
    <col customWidth="1" min="3" max="3" width="10.88"/>
    <col customWidth="1" min="4" max="4" width="11.5"/>
    <col customWidth="1" min="5" max="6" width="8.38"/>
    <col customWidth="1" min="7" max="7" width="11.13"/>
    <col customWidth="1" min="8" max="9" width="10.0"/>
    <col customWidth="1" min="10" max="10" width="9.5"/>
    <col customWidth="1" min="11" max="11" width="1.5"/>
    <col customWidth="1" min="12" max="12" width="11.88"/>
    <col customWidth="1" min="13" max="13" width="10.25"/>
    <col customWidth="1" min="14" max="14" width="5.13"/>
    <col customWidth="1" min="15" max="15" width="10.13"/>
    <col customWidth="1" min="16" max="16" width="1.5"/>
    <col customWidth="1" min="17" max="17" width="14.38"/>
    <col customWidth="1" min="18" max="18" width="10.88"/>
    <col customWidth="1" min="19" max="19" width="1.38"/>
    <col customWidth="1" min="20" max="20" width="9.25"/>
    <col customWidth="1" min="21" max="21" width="9.13"/>
    <col customWidth="1" min="22" max="22" width="4.63"/>
    <col customWidth="1" min="23" max="23" width="8.38"/>
    <col customWidth="1" min="24" max="24" width="7.75"/>
    <col customWidth="1" min="25" max="25" width="2.63"/>
  </cols>
  <sheetData>
    <row r="1">
      <c r="J1" s="15"/>
      <c r="V1" s="15"/>
      <c r="W1" s="15"/>
    </row>
    <row r="2" ht="22.5" customHeight="1">
      <c r="B2" s="68" t="s">
        <v>40</v>
      </c>
      <c r="C2" s="27"/>
      <c r="J2" s="15"/>
      <c r="V2" s="15"/>
      <c r="W2" s="15"/>
    </row>
    <row r="3">
      <c r="B3" s="69" t="s">
        <v>41</v>
      </c>
      <c r="C3" s="70">
        <v>51.0</v>
      </c>
      <c r="J3" s="15"/>
      <c r="V3" s="15"/>
      <c r="W3" s="15"/>
    </row>
    <row r="4">
      <c r="B4" s="69" t="s">
        <v>42</v>
      </c>
      <c r="C4" s="71">
        <v>5000.0</v>
      </c>
      <c r="J4" s="15"/>
      <c r="V4" s="15"/>
      <c r="W4" s="15"/>
    </row>
    <row r="5">
      <c r="C5" s="1"/>
      <c r="J5" s="15"/>
      <c r="V5" s="15"/>
      <c r="W5" s="15"/>
    </row>
    <row r="6" ht="35.25" customHeight="1">
      <c r="A6" s="72"/>
      <c r="B6" s="73" t="s">
        <v>25</v>
      </c>
      <c r="C6" s="73" t="s">
        <v>43</v>
      </c>
      <c r="D6" s="73" t="s">
        <v>44</v>
      </c>
      <c r="E6" s="73" t="s">
        <v>45</v>
      </c>
      <c r="F6" s="73" t="s">
        <v>46</v>
      </c>
      <c r="G6" s="73" t="s">
        <v>47</v>
      </c>
      <c r="H6" s="73" t="s">
        <v>48</v>
      </c>
      <c r="I6" s="73" t="s">
        <v>49</v>
      </c>
      <c r="J6" s="73" t="s">
        <v>50</v>
      </c>
      <c r="L6" s="74" t="s">
        <v>51</v>
      </c>
      <c r="M6" s="26"/>
      <c r="N6" s="26"/>
      <c r="O6" s="27"/>
      <c r="Q6" s="74" t="s">
        <v>52</v>
      </c>
      <c r="R6" s="27"/>
      <c r="S6" s="72"/>
      <c r="T6" s="72"/>
    </row>
    <row r="7">
      <c r="A7" s="39"/>
      <c r="B7" s="39">
        <v>46082.0</v>
      </c>
      <c r="C7" s="75">
        <v>38600.0</v>
      </c>
      <c r="D7" s="75">
        <f> 1593215</f>
        <v>1593215</v>
      </c>
      <c r="E7" s="75">
        <f> 591201 + 962148 + 560804 + 719069</f>
        <v>2833222</v>
      </c>
      <c r="F7" s="75">
        <v>1300047.0</v>
      </c>
      <c r="G7" s="56">
        <f t="shared" ref="G7:G37" si="1">IF(SUM(D7:F7) = 0, , (SUM(D7:F7)))</f>
        <v>5726484</v>
      </c>
      <c r="H7" s="76">
        <f t="shared" ref="H7:H37" si="2">IFERROR(G7/C7, )</f>
        <v>148.3545078</v>
      </c>
      <c r="I7" s="77">
        <f t="shared" ref="I7:I37" si="3">IFERROR(H7/25 * ($C$3/10), )</f>
        <v>30.26431959</v>
      </c>
      <c r="J7" s="41" t="str">
        <f t="shared" ref="J7:J37" si="4">IF(B7 &gt; TODAY(), "", IF(G7 = "", "Não", "Sim"))
</f>
        <v>Sim</v>
      </c>
      <c r="L7" s="78"/>
      <c r="M7" s="79" t="s">
        <v>53</v>
      </c>
      <c r="N7" s="80" t="s">
        <v>54</v>
      </c>
      <c r="O7" s="81" t="s">
        <v>55</v>
      </c>
      <c r="Q7" s="82"/>
      <c r="R7" s="69" t="s">
        <v>56</v>
      </c>
      <c r="T7" s="2"/>
      <c r="U7" s="2"/>
      <c r="V7" s="2"/>
      <c r="W7" s="2"/>
      <c r="X7" s="83"/>
      <c r="Y7" s="2"/>
    </row>
    <row r="8">
      <c r="A8" s="39"/>
      <c r="B8" s="39">
        <v>46083.0</v>
      </c>
      <c r="C8" s="75">
        <v>39298.0</v>
      </c>
      <c r="D8" s="75">
        <f> 1866433 + 2460609 + 1522293</f>
        <v>5849335</v>
      </c>
      <c r="E8" s="75">
        <f> 1006766 + 2005061</f>
        <v>3011827</v>
      </c>
      <c r="F8" s="75">
        <v>0.0</v>
      </c>
      <c r="G8" s="56">
        <f t="shared" si="1"/>
        <v>8861162</v>
      </c>
      <c r="H8" s="76">
        <f t="shared" si="2"/>
        <v>225.4863352</v>
      </c>
      <c r="I8" s="77">
        <f t="shared" si="3"/>
        <v>45.99921238</v>
      </c>
      <c r="J8" s="41" t="str">
        <f t="shared" si="4"/>
        <v>Sim</v>
      </c>
      <c r="L8" s="84" t="s">
        <v>0</v>
      </c>
      <c r="M8" s="85">
        <f> IFERROR(MEDIAN(C7:C999), )</f>
        <v>38498</v>
      </c>
      <c r="N8" s="86"/>
      <c r="O8" s="87"/>
      <c r="P8" s="88"/>
      <c r="Q8" s="89" t="s">
        <v>57</v>
      </c>
      <c r="R8" s="17">
        <f>Count(B:B)</f>
        <v>31</v>
      </c>
      <c r="T8" s="90"/>
      <c r="U8" s="91"/>
      <c r="V8" s="2"/>
      <c r="W8" s="91"/>
      <c r="X8" s="92"/>
      <c r="Y8" s="56"/>
    </row>
    <row r="9">
      <c r="A9" s="39"/>
      <c r="B9" s="39">
        <v>46084.0</v>
      </c>
      <c r="C9" s="75">
        <v>39888.0</v>
      </c>
      <c r="D9" s="75">
        <f> 1966898 + 1950000 + 1138419 + 364075 + 829970</f>
        <v>6249362</v>
      </c>
      <c r="E9" s="75">
        <f> 1813968 + 895592</f>
        <v>2709560</v>
      </c>
      <c r="F9" s="75">
        <v>0.0</v>
      </c>
      <c r="G9" s="56">
        <f t="shared" si="1"/>
        <v>8958922</v>
      </c>
      <c r="H9" s="76">
        <f t="shared" si="2"/>
        <v>224.6019354</v>
      </c>
      <c r="I9" s="77">
        <f t="shared" si="3"/>
        <v>45.81879483</v>
      </c>
      <c r="J9" s="41" t="str">
        <f t="shared" si="4"/>
        <v>Sim</v>
      </c>
      <c r="L9" s="89" t="s">
        <v>2</v>
      </c>
      <c r="M9" s="56">
        <f t="shared" ref="M9:N9" si="5"> IFERROR(MEDIAN(G7:G999), )</f>
        <v>7255621</v>
      </c>
      <c r="N9" s="56">
        <f t="shared" si="5"/>
        <v>190.6980158</v>
      </c>
      <c r="O9" s="93">
        <f> IFERROR($N$9 * ($C$3/10)  / 25, )</f>
        <v>38.90239521</v>
      </c>
      <c r="P9" s="88"/>
      <c r="Q9" s="89" t="s">
        <v>58</v>
      </c>
      <c r="R9" s="17">
        <f>COUNTIF(J:J, "=Sim")</f>
        <v>31</v>
      </c>
      <c r="T9" s="90"/>
      <c r="U9" s="91"/>
      <c r="V9" s="2"/>
      <c r="W9" s="91"/>
      <c r="X9" s="92"/>
      <c r="Y9" s="56"/>
    </row>
    <row r="10">
      <c r="A10" s="39"/>
      <c r="B10" s="39">
        <v>46085.0</v>
      </c>
      <c r="C10" s="75">
        <v>37949.0</v>
      </c>
      <c r="D10" s="75">
        <f> 2889635 + 1585814</f>
        <v>4475449</v>
      </c>
      <c r="E10" s="75">
        <f> 1684132 + 1077218</f>
        <v>2761350</v>
      </c>
      <c r="F10" s="75">
        <v>0.0</v>
      </c>
      <c r="G10" s="56">
        <f t="shared" si="1"/>
        <v>7236799</v>
      </c>
      <c r="H10" s="76">
        <f t="shared" si="2"/>
        <v>190.6980158</v>
      </c>
      <c r="I10" s="77">
        <f t="shared" si="3"/>
        <v>38.90239521</v>
      </c>
      <c r="J10" s="41" t="str">
        <f t="shared" si="4"/>
        <v>Sim</v>
      </c>
      <c r="L10" s="89" t="s">
        <v>59</v>
      </c>
      <c r="M10" s="94">
        <f>IFERROR(SUM(G7:G999), )</f>
        <v>208999761</v>
      </c>
      <c r="N10" s="95">
        <f> IFERROR($M$10 / $M$8, )</f>
        <v>5428.847239</v>
      </c>
      <c r="O10" s="93">
        <f> IFERROR($N$10 * ($C$3/10)  / 25, )</f>
        <v>1107.484837</v>
      </c>
      <c r="P10" s="88"/>
      <c r="Q10" s="89" t="s">
        <v>60</v>
      </c>
      <c r="R10" s="96">
        <f>IFERROR(M12/M9, )</f>
        <v>-2.275444238</v>
      </c>
      <c r="T10" s="90"/>
      <c r="U10" s="91"/>
      <c r="V10" s="2"/>
      <c r="W10" s="91"/>
      <c r="X10" s="92"/>
      <c r="Y10" s="56"/>
    </row>
    <row r="11">
      <c r="A11" s="39"/>
      <c r="B11" s="39">
        <v>46086.0</v>
      </c>
      <c r="C11" s="75">
        <v>37900.0</v>
      </c>
      <c r="D11" s="75">
        <f> 1370867 + 1359419 + 1500000</f>
        <v>4230286</v>
      </c>
      <c r="E11" s="75">
        <f> 1870522 + 1180452</f>
        <v>3050974</v>
      </c>
      <c r="F11" s="75">
        <v>0.0</v>
      </c>
      <c r="G11" s="56">
        <f t="shared" si="1"/>
        <v>7281260</v>
      </c>
      <c r="H11" s="76">
        <f t="shared" si="2"/>
        <v>192.1176781</v>
      </c>
      <c r="I11" s="77">
        <f t="shared" si="3"/>
        <v>39.19200633</v>
      </c>
      <c r="J11" s="41" t="str">
        <f t="shared" si="4"/>
        <v>Sim</v>
      </c>
      <c r="L11" s="89" t="s">
        <v>61</v>
      </c>
      <c r="M11" s="75">
        <f> IFERROR($N$11 * $M$8, )</f>
        <v>192490000</v>
      </c>
      <c r="N11" s="98">
        <f> IFERROR($C$4, )</f>
        <v>5000</v>
      </c>
      <c r="O11" s="93">
        <f> IFERROR($N$11 * ($C$3/10)  / 25,"")</f>
        <v>1020</v>
      </c>
      <c r="Q11" s="89" t="s">
        <v>62</v>
      </c>
      <c r="R11" s="17">
        <f>COUNTIF($J:$J, "=Não")</f>
        <v>0</v>
      </c>
      <c r="T11" s="90"/>
      <c r="U11" s="91"/>
      <c r="V11" s="2"/>
      <c r="W11" s="91"/>
      <c r="X11" s="92"/>
      <c r="Y11" s="56"/>
    </row>
    <row r="12">
      <c r="A12" s="39"/>
      <c r="B12" s="103">
        <v>46087.0</v>
      </c>
      <c r="C12" s="75">
        <v>38993.0</v>
      </c>
      <c r="D12" s="75">
        <v>0.0</v>
      </c>
      <c r="E12" s="75">
        <f> 944578 + 1211390 + 858872</f>
        <v>3014840</v>
      </c>
      <c r="F12" s="75">
        <v>0.0</v>
      </c>
      <c r="G12" s="56">
        <f t="shared" si="1"/>
        <v>3014840</v>
      </c>
      <c r="H12" s="76">
        <f t="shared" si="2"/>
        <v>77.31746724</v>
      </c>
      <c r="I12" s="77">
        <f t="shared" si="3"/>
        <v>15.77276332</v>
      </c>
      <c r="J12" s="41" t="str">
        <f t="shared" si="4"/>
        <v>Sim</v>
      </c>
      <c r="L12" s="89" t="s">
        <v>63</v>
      </c>
      <c r="M12" s="56">
        <f> IFERROR($M$11 - $M$10, )</f>
        <v>-16509761</v>
      </c>
      <c r="N12" s="56">
        <f>N11 - N10</f>
        <v>-428.8472388</v>
      </c>
      <c r="O12" s="93">
        <f> IFERROR($N$12 * ($C$3/10)  / 25, )</f>
        <v>-87.48483672</v>
      </c>
      <c r="Q12" s="89" t="s">
        <v>64</v>
      </c>
      <c r="R12" s="96">
        <f>R8 - R9 - R10</f>
        <v>2.275444238</v>
      </c>
      <c r="T12" s="90"/>
      <c r="U12" s="91"/>
      <c r="V12" s="2"/>
      <c r="W12" s="91"/>
      <c r="X12" s="92"/>
      <c r="Y12" s="56"/>
    </row>
    <row r="13">
      <c r="A13" s="39"/>
      <c r="B13" s="103">
        <v>46088.0</v>
      </c>
      <c r="C13" s="75">
        <v>38099.0</v>
      </c>
      <c r="D13" s="75">
        <f> 296185 + 86358 + 408589</f>
        <v>791132</v>
      </c>
      <c r="E13" s="75">
        <f> 1263502 + 509101 + 1230129</f>
        <v>3002732</v>
      </c>
      <c r="F13" s="75">
        <v>0.0</v>
      </c>
      <c r="G13" s="56">
        <f t="shared" si="1"/>
        <v>3793864</v>
      </c>
      <c r="H13" s="76">
        <f t="shared" si="2"/>
        <v>99.57909656</v>
      </c>
      <c r="I13" s="77">
        <f t="shared" si="3"/>
        <v>20.3141357</v>
      </c>
      <c r="J13" s="41" t="str">
        <f t="shared" si="4"/>
        <v>Sim</v>
      </c>
      <c r="L13" s="99"/>
      <c r="M13" s="100"/>
      <c r="N13" s="100"/>
      <c r="O13" s="101"/>
      <c r="Q13" s="99" t="s">
        <v>7</v>
      </c>
      <c r="R13" s="23" t="str">
        <f>IF(M10 &gt;= M11, "🔵 Concluído", IF((R8-R9)-R10-R11&gt;=2, "🟢 Seguro", IF((R8-R9)-R10-R11&gt;=0, "🟡 Atenção", "🔴 Risco")))</f>
        <v>🔵 Concluído</v>
      </c>
      <c r="T13" s="90"/>
      <c r="U13" s="91"/>
      <c r="V13" s="2"/>
      <c r="W13" s="91"/>
      <c r="X13" s="92"/>
      <c r="Y13" s="56"/>
    </row>
    <row r="14">
      <c r="A14" s="39"/>
      <c r="B14" s="103">
        <v>46089.0</v>
      </c>
      <c r="C14" s="75">
        <v>38095.0</v>
      </c>
      <c r="D14" s="75">
        <f> 1287862 + 1627561</f>
        <v>2915423</v>
      </c>
      <c r="E14" s="75">
        <f> 1959894 + 952496 + 92467</f>
        <v>3004857</v>
      </c>
      <c r="F14" s="75">
        <v>0.0</v>
      </c>
      <c r="G14" s="56">
        <f t="shared" si="1"/>
        <v>5920280</v>
      </c>
      <c r="H14" s="76">
        <f t="shared" si="2"/>
        <v>155.4083213</v>
      </c>
      <c r="I14" s="77">
        <f t="shared" si="3"/>
        <v>31.70329755</v>
      </c>
      <c r="J14" s="41" t="str">
        <f t="shared" si="4"/>
        <v>Sim</v>
      </c>
      <c r="L14" s="1"/>
      <c r="M14" s="1"/>
      <c r="N14" s="1"/>
      <c r="O14" s="1"/>
      <c r="Q14" s="1"/>
      <c r="R14" s="15"/>
      <c r="V14" s="15"/>
      <c r="W14" s="15"/>
      <c r="Y14" s="56"/>
    </row>
    <row r="15">
      <c r="A15" s="39"/>
      <c r="B15" s="39">
        <v>46090.0</v>
      </c>
      <c r="C15" s="75">
        <v>38498.0</v>
      </c>
      <c r="D15" s="75">
        <f> 2611132 + 1217971 + 1744899 + 247550 + 704766</f>
        <v>6526318</v>
      </c>
      <c r="E15" s="75">
        <f> 1826907 + 1209214</f>
        <v>3036121</v>
      </c>
      <c r="F15" s="75">
        <v>0.0</v>
      </c>
      <c r="G15" s="56">
        <f t="shared" si="1"/>
        <v>9562439</v>
      </c>
      <c r="H15" s="76">
        <f t="shared" si="2"/>
        <v>248.3879422</v>
      </c>
      <c r="I15" s="77">
        <f t="shared" si="3"/>
        <v>50.67114022</v>
      </c>
      <c r="J15" s="41" t="str">
        <f t="shared" si="4"/>
        <v>Sim</v>
      </c>
      <c r="L15" s="1"/>
      <c r="V15" s="15"/>
      <c r="W15" s="15"/>
    </row>
    <row r="16">
      <c r="A16" s="39"/>
      <c r="B16" s="39">
        <v>46091.0</v>
      </c>
      <c r="C16" s="75">
        <v>38198.0</v>
      </c>
      <c r="D16" s="75">
        <f> 2126989</f>
        <v>2126989</v>
      </c>
      <c r="E16" s="75">
        <f> 1795121 + 945185</f>
        <v>2740306</v>
      </c>
      <c r="F16" s="75">
        <v>0.0</v>
      </c>
      <c r="G16" s="56">
        <f t="shared" si="1"/>
        <v>4867295</v>
      </c>
      <c r="H16" s="76">
        <f t="shared" si="2"/>
        <v>127.4227708</v>
      </c>
      <c r="I16" s="77">
        <f t="shared" si="3"/>
        <v>25.99424525</v>
      </c>
      <c r="J16" s="41" t="str">
        <f t="shared" si="4"/>
        <v>Sim</v>
      </c>
      <c r="N16" s="102"/>
      <c r="V16" s="15"/>
      <c r="W16" s="15"/>
    </row>
    <row r="17">
      <c r="A17" s="39"/>
      <c r="B17" s="39">
        <v>46092.0</v>
      </c>
      <c r="C17" s="75">
        <v>38196.0</v>
      </c>
      <c r="D17" s="75">
        <f> 1821921 - 130627 + 2605544 + 1388582</f>
        <v>5685420</v>
      </c>
      <c r="E17" s="75">
        <f> 1586198 + 546884</f>
        <v>2133082</v>
      </c>
      <c r="F17" s="75">
        <v>0.0</v>
      </c>
      <c r="G17" s="56">
        <f t="shared" si="1"/>
        <v>7818502</v>
      </c>
      <c r="H17" s="76">
        <f t="shared" si="2"/>
        <v>204.6942612</v>
      </c>
      <c r="I17" s="77">
        <f t="shared" si="3"/>
        <v>41.75762928</v>
      </c>
      <c r="J17" s="41" t="str">
        <f t="shared" si="4"/>
        <v>Sim</v>
      </c>
      <c r="V17" s="15"/>
      <c r="W17" s="15"/>
    </row>
    <row r="18">
      <c r="A18" s="39"/>
      <c r="B18" s="39">
        <v>46093.0</v>
      </c>
      <c r="C18" s="75">
        <v>38193.0</v>
      </c>
      <c r="D18" s="75">
        <f> 1910486 + 913030 + 1527523 + 536720 + 720150 + 426128</f>
        <v>6034037</v>
      </c>
      <c r="E18" s="75">
        <f> 2026332 + 1024892</f>
        <v>3051224</v>
      </c>
      <c r="F18" s="75">
        <v>0.0</v>
      </c>
      <c r="G18" s="56">
        <f t="shared" si="1"/>
        <v>9085261</v>
      </c>
      <c r="H18" s="76">
        <f t="shared" si="2"/>
        <v>237.8776477</v>
      </c>
      <c r="I18" s="77">
        <f t="shared" si="3"/>
        <v>48.52704014</v>
      </c>
      <c r="J18" s="41" t="str">
        <f t="shared" si="4"/>
        <v>Sim</v>
      </c>
      <c r="V18" s="15"/>
      <c r="W18" s="15"/>
    </row>
    <row r="19">
      <c r="A19" s="39"/>
      <c r="B19" s="39">
        <v>46094.0</v>
      </c>
      <c r="C19" s="75">
        <v>38099.0</v>
      </c>
      <c r="D19" s="75">
        <f> 1546936 + 2700897 + 579935</f>
        <v>4827768</v>
      </c>
      <c r="E19" s="75">
        <f> 2026592 + 852012 + 170320</f>
        <v>3048924</v>
      </c>
      <c r="F19" s="75">
        <v>0.0</v>
      </c>
      <c r="G19" s="56">
        <f t="shared" si="1"/>
        <v>7876692</v>
      </c>
      <c r="H19" s="76">
        <f t="shared" si="2"/>
        <v>206.7427492</v>
      </c>
      <c r="I19" s="77">
        <f t="shared" si="3"/>
        <v>42.17552083</v>
      </c>
      <c r="J19" s="41" t="str">
        <f t="shared" si="4"/>
        <v>Sim</v>
      </c>
      <c r="V19" s="15"/>
      <c r="W19" s="15"/>
    </row>
    <row r="20">
      <c r="A20" s="39"/>
      <c r="B20" s="39">
        <v>46095.0</v>
      </c>
      <c r="C20" s="75">
        <v>38499.0</v>
      </c>
      <c r="D20" s="75">
        <v>0.0</v>
      </c>
      <c r="E20" s="75">
        <f> 1886119 + 475758 + 652933</f>
        <v>3014810</v>
      </c>
      <c r="F20" s="75">
        <v>0.0</v>
      </c>
      <c r="G20" s="56">
        <f t="shared" si="1"/>
        <v>3014810</v>
      </c>
      <c r="H20" s="76">
        <f t="shared" si="2"/>
        <v>78.30878724</v>
      </c>
      <c r="I20" s="77">
        <f t="shared" si="3"/>
        <v>15.9749926</v>
      </c>
      <c r="J20" s="41" t="str">
        <f t="shared" si="4"/>
        <v>Sim</v>
      </c>
      <c r="V20" s="15"/>
      <c r="W20" s="15"/>
    </row>
    <row r="21">
      <c r="A21" s="39"/>
      <c r="B21" s="39">
        <v>46096.0</v>
      </c>
      <c r="C21" s="75">
        <v>37900.0</v>
      </c>
      <c r="D21" s="75">
        <v>0.0</v>
      </c>
      <c r="E21" s="75">
        <f> 1975845 + 1035061</f>
        <v>3010906</v>
      </c>
      <c r="F21" s="75">
        <v>0.0</v>
      </c>
      <c r="G21" s="56">
        <f t="shared" si="1"/>
        <v>3010906</v>
      </c>
      <c r="H21" s="76">
        <f t="shared" si="2"/>
        <v>79.44343008</v>
      </c>
      <c r="I21" s="77">
        <f t="shared" si="3"/>
        <v>16.20645974</v>
      </c>
      <c r="J21" s="41" t="str">
        <f t="shared" si="4"/>
        <v>Sim</v>
      </c>
      <c r="V21" s="15"/>
      <c r="W21" s="15"/>
    </row>
    <row r="22">
      <c r="A22" s="39"/>
      <c r="B22" s="39">
        <v>46097.0</v>
      </c>
      <c r="C22" s="75">
        <v>39000.0</v>
      </c>
      <c r="D22" s="75">
        <f> 2486527 + 2303716 + 1849927</f>
        <v>6640170</v>
      </c>
      <c r="E22" s="56">
        <f> 803013 + 399194 + 447648 + 1509043</f>
        <v>3158898</v>
      </c>
      <c r="F22" s="75">
        <v>0.0</v>
      </c>
      <c r="G22" s="56">
        <f t="shared" si="1"/>
        <v>9799068</v>
      </c>
      <c r="H22" s="76">
        <f t="shared" si="2"/>
        <v>251.2581538</v>
      </c>
      <c r="I22" s="77">
        <f t="shared" si="3"/>
        <v>51.25666338</v>
      </c>
      <c r="J22" s="41" t="str">
        <f t="shared" si="4"/>
        <v>Sim</v>
      </c>
      <c r="V22" s="15"/>
      <c r="W22" s="15"/>
    </row>
    <row r="23">
      <c r="A23" s="39"/>
      <c r="B23" s="39">
        <v>46098.0</v>
      </c>
      <c r="C23" s="75">
        <v>38798.0</v>
      </c>
      <c r="D23" s="75">
        <f> 1849473 + 2268903 + 1638113</f>
        <v>5756489</v>
      </c>
      <c r="E23" s="75">
        <f> 1478170 + 957265 + 365580</f>
        <v>2801015</v>
      </c>
      <c r="F23" s="75">
        <v>0.0</v>
      </c>
      <c r="G23" s="56">
        <f t="shared" si="1"/>
        <v>8557504</v>
      </c>
      <c r="H23" s="76">
        <f t="shared" si="2"/>
        <v>220.5655962</v>
      </c>
      <c r="I23" s="77">
        <f t="shared" si="3"/>
        <v>44.99538162</v>
      </c>
      <c r="J23" s="41" t="str">
        <f t="shared" si="4"/>
        <v>Sim</v>
      </c>
      <c r="V23" s="15"/>
      <c r="W23" s="15"/>
    </row>
    <row r="24">
      <c r="A24" s="39"/>
      <c r="B24" s="39">
        <v>46099.0</v>
      </c>
      <c r="C24" s="75">
        <v>38000.0</v>
      </c>
      <c r="D24" s="75">
        <f> 2067247 + 1911185 + 1411664 + 534935</f>
        <v>5925031</v>
      </c>
      <c r="E24" s="75">
        <f> 1287719</f>
        <v>1287719</v>
      </c>
      <c r="F24" s="75">
        <v>0.0</v>
      </c>
      <c r="G24" s="56">
        <f t="shared" si="1"/>
        <v>7212750</v>
      </c>
      <c r="H24" s="76">
        <f t="shared" si="2"/>
        <v>189.8092105</v>
      </c>
      <c r="I24" s="77">
        <f t="shared" si="3"/>
        <v>38.72107895</v>
      </c>
      <c r="J24" s="41" t="str">
        <f t="shared" si="4"/>
        <v>Sim</v>
      </c>
      <c r="N24" s="1"/>
      <c r="V24" s="15"/>
      <c r="W24" s="15"/>
    </row>
    <row r="25">
      <c r="A25" s="39"/>
      <c r="B25" s="39">
        <v>46100.0</v>
      </c>
      <c r="C25" s="75">
        <v>38499.0</v>
      </c>
      <c r="D25" s="75">
        <v>0.0</v>
      </c>
      <c r="E25" s="75">
        <f> 1468000 + 131000 + 1100000</f>
        <v>2699000</v>
      </c>
      <c r="F25" s="75">
        <v>0.0</v>
      </c>
      <c r="G25" s="56">
        <f t="shared" si="1"/>
        <v>2699000</v>
      </c>
      <c r="H25" s="76">
        <f t="shared" si="2"/>
        <v>70.10571703</v>
      </c>
      <c r="I25" s="77">
        <f t="shared" si="3"/>
        <v>14.30156627</v>
      </c>
      <c r="J25" s="41" t="str">
        <f t="shared" si="4"/>
        <v>Sim</v>
      </c>
      <c r="V25" s="15"/>
      <c r="W25" s="15"/>
    </row>
    <row r="26">
      <c r="A26" s="39"/>
      <c r="B26" s="39">
        <v>46101.0</v>
      </c>
      <c r="C26" s="75">
        <v>38499.0</v>
      </c>
      <c r="D26" s="75">
        <f> 1917325 + 1402623</f>
        <v>3319948</v>
      </c>
      <c r="E26" s="75">
        <f> 970256 + 675574 + 1114271</f>
        <v>2760101</v>
      </c>
      <c r="F26" s="75">
        <v>0.0</v>
      </c>
      <c r="G26" s="56">
        <f t="shared" si="1"/>
        <v>6080049</v>
      </c>
      <c r="H26" s="76">
        <f t="shared" si="2"/>
        <v>157.9274527</v>
      </c>
      <c r="I26" s="77">
        <f t="shared" si="3"/>
        <v>32.21720034</v>
      </c>
      <c r="J26" s="41" t="str">
        <f t="shared" si="4"/>
        <v>Sim</v>
      </c>
      <c r="V26" s="15"/>
      <c r="W26" s="15"/>
    </row>
    <row r="27">
      <c r="A27" s="39"/>
      <c r="B27" s="39">
        <v>46102.0</v>
      </c>
      <c r="C27" s="75">
        <v>39089.0</v>
      </c>
      <c r="D27" s="75">
        <f> 1885805 + 2266267 + 2033456</f>
        <v>6185528</v>
      </c>
      <c r="E27" s="75">
        <f> 1198329 + 1111696 + 1272996</f>
        <v>3583021</v>
      </c>
      <c r="F27" s="75">
        <v>0.0</v>
      </c>
      <c r="G27" s="56">
        <f t="shared" si="1"/>
        <v>9768549</v>
      </c>
      <c r="H27" s="76">
        <f t="shared" si="2"/>
        <v>249.9053186</v>
      </c>
      <c r="I27" s="77">
        <f t="shared" si="3"/>
        <v>50.980685</v>
      </c>
      <c r="J27" s="41" t="str">
        <f t="shared" si="4"/>
        <v>Sim</v>
      </c>
      <c r="V27" s="15"/>
      <c r="W27" s="15"/>
    </row>
    <row r="28">
      <c r="A28" s="39"/>
      <c r="B28" s="39">
        <v>46103.0</v>
      </c>
      <c r="C28" s="75">
        <v>37499.0</v>
      </c>
      <c r="D28" s="75">
        <f> 3325939 + 2371038 + 1486317</f>
        <v>7183294</v>
      </c>
      <c r="E28" s="75">
        <f> 997321 + 589056</f>
        <v>1586377</v>
      </c>
      <c r="F28" s="75">
        <v>0.0</v>
      </c>
      <c r="G28" s="56">
        <f t="shared" si="1"/>
        <v>8769671</v>
      </c>
      <c r="H28" s="104">
        <f t="shared" si="2"/>
        <v>233.8641297</v>
      </c>
      <c r="I28" s="77">
        <f t="shared" si="3"/>
        <v>47.70828246</v>
      </c>
      <c r="J28" s="41" t="str">
        <f t="shared" si="4"/>
        <v>Sim</v>
      </c>
      <c r="N28" s="1"/>
      <c r="V28" s="15"/>
      <c r="W28" s="15"/>
    </row>
    <row r="29">
      <c r="A29" s="39"/>
      <c r="B29" s="39">
        <v>46104.0</v>
      </c>
      <c r="C29" s="75">
        <v>38400.0</v>
      </c>
      <c r="D29" s="75">
        <f> 2288248 + 1454530 + 642926 + 1093751</f>
        <v>5479455</v>
      </c>
      <c r="E29" s="75">
        <f> 650780 + 1125386</f>
        <v>1776166</v>
      </c>
      <c r="F29" s="75">
        <v>0.0</v>
      </c>
      <c r="G29" s="56">
        <f t="shared" si="1"/>
        <v>7255621</v>
      </c>
      <c r="H29" s="104">
        <f t="shared" si="2"/>
        <v>188.9484635</v>
      </c>
      <c r="I29" s="77">
        <f t="shared" si="3"/>
        <v>38.54548656</v>
      </c>
      <c r="J29" s="41" t="str">
        <f t="shared" si="4"/>
        <v>Sim</v>
      </c>
      <c r="V29" s="15"/>
      <c r="W29" s="15"/>
    </row>
    <row r="30">
      <c r="A30" s="39"/>
      <c r="B30" s="39">
        <v>46105.0</v>
      </c>
      <c r="C30" s="75">
        <v>38780.0</v>
      </c>
      <c r="D30" s="75">
        <f> 1779292 + 1620011 + 1536063</f>
        <v>4935366</v>
      </c>
      <c r="E30" s="75">
        <f> 1176452</f>
        <v>1176452</v>
      </c>
      <c r="F30" s="75">
        <v>1102015.0</v>
      </c>
      <c r="G30" s="56">
        <f t="shared" si="1"/>
        <v>7213833</v>
      </c>
      <c r="H30" s="104">
        <f t="shared" si="2"/>
        <v>186.0194172</v>
      </c>
      <c r="I30" s="77">
        <f t="shared" si="3"/>
        <v>37.94796111</v>
      </c>
      <c r="J30" s="41" t="str">
        <f t="shared" si="4"/>
        <v>Sim</v>
      </c>
      <c r="V30" s="15"/>
      <c r="W30" s="15"/>
    </row>
    <row r="31">
      <c r="A31" s="39"/>
      <c r="B31" s="39">
        <v>46106.0</v>
      </c>
      <c r="C31" s="75">
        <v>38389.0</v>
      </c>
      <c r="D31" s="75">
        <f> 1765893 + 1601477 + 1290000 + 2213357</f>
        <v>6870727</v>
      </c>
      <c r="E31" s="75">
        <f> 1033000</f>
        <v>1033000</v>
      </c>
      <c r="F31" s="75">
        <v>0.0</v>
      </c>
      <c r="G31" s="56">
        <f t="shared" si="1"/>
        <v>7903727</v>
      </c>
      <c r="H31" s="104">
        <f t="shared" si="2"/>
        <v>205.8852015</v>
      </c>
      <c r="I31" s="77">
        <f t="shared" si="3"/>
        <v>42.0005811</v>
      </c>
      <c r="J31" s="41" t="str">
        <f t="shared" si="4"/>
        <v>Sim</v>
      </c>
      <c r="V31" s="15"/>
      <c r="W31" s="15"/>
    </row>
    <row r="32">
      <c r="A32" s="39"/>
      <c r="B32" s="39">
        <v>46107.0</v>
      </c>
      <c r="C32" s="75">
        <v>38389.0</v>
      </c>
      <c r="D32" s="75">
        <f> 1432160 + 2032074</f>
        <v>3464234</v>
      </c>
      <c r="E32" s="56">
        <f> 1930940 + 1073563</f>
        <v>3004503</v>
      </c>
      <c r="F32" s="75">
        <v>0.0</v>
      </c>
      <c r="G32" s="56">
        <f t="shared" si="1"/>
        <v>6468737</v>
      </c>
      <c r="H32" s="104">
        <f t="shared" si="2"/>
        <v>168.5049624</v>
      </c>
      <c r="I32" s="77">
        <f t="shared" si="3"/>
        <v>34.37501232</v>
      </c>
      <c r="J32" s="41" t="str">
        <f t="shared" si="4"/>
        <v>Sim</v>
      </c>
      <c r="V32" s="15"/>
      <c r="W32" s="15"/>
    </row>
    <row r="33">
      <c r="A33" s="39"/>
      <c r="B33" s="39">
        <v>46108.0</v>
      </c>
      <c r="C33" s="75">
        <v>39200.0</v>
      </c>
      <c r="D33" s="75">
        <f> 1814408 + 767095 + 2290636</f>
        <v>4872139</v>
      </c>
      <c r="E33" s="75">
        <f> 1551609 + 762064 + 588747</f>
        <v>2902420</v>
      </c>
      <c r="F33" s="75">
        <v>0.0</v>
      </c>
      <c r="G33" s="56">
        <f t="shared" si="1"/>
        <v>7774559</v>
      </c>
      <c r="H33" s="104">
        <f t="shared" si="2"/>
        <v>198.3305867</v>
      </c>
      <c r="I33" s="77">
        <f t="shared" si="3"/>
        <v>40.45943969</v>
      </c>
      <c r="J33" s="41" t="str">
        <f t="shared" si="4"/>
        <v>Sim</v>
      </c>
      <c r="V33" s="15"/>
      <c r="W33" s="15"/>
    </row>
    <row r="34">
      <c r="A34" s="39"/>
      <c r="B34" s="39">
        <v>46109.0</v>
      </c>
      <c r="C34" s="75">
        <v>39188.0</v>
      </c>
      <c r="D34" s="75">
        <v>0.0</v>
      </c>
      <c r="E34" s="75">
        <f> 1285390 + 1597669</f>
        <v>2883059</v>
      </c>
      <c r="F34" s="75">
        <v>0.0</v>
      </c>
      <c r="G34" s="56">
        <f t="shared" si="1"/>
        <v>2883059</v>
      </c>
      <c r="H34" s="104">
        <f t="shared" si="2"/>
        <v>73.56994488</v>
      </c>
      <c r="I34" s="77">
        <f t="shared" si="3"/>
        <v>15.00826876</v>
      </c>
      <c r="J34" s="41" t="str">
        <f t="shared" si="4"/>
        <v>Sim</v>
      </c>
      <c r="V34" s="15"/>
      <c r="W34" s="15"/>
    </row>
    <row r="35">
      <c r="B35" s="39">
        <v>46110.0</v>
      </c>
      <c r="C35" s="75">
        <v>39164.0</v>
      </c>
      <c r="D35" s="75">
        <f> 428136 + 55482 + 390406</f>
        <v>874024</v>
      </c>
      <c r="E35" s="75">
        <f> 1711227 + 1110293</f>
        <v>2821520</v>
      </c>
      <c r="F35" s="75">
        <v>0.0</v>
      </c>
      <c r="G35" s="56">
        <f t="shared" si="1"/>
        <v>3695544</v>
      </c>
      <c r="H35" s="104">
        <f t="shared" si="2"/>
        <v>94.36073945</v>
      </c>
      <c r="I35" s="77">
        <f t="shared" si="3"/>
        <v>19.24959085</v>
      </c>
      <c r="J35" s="41" t="str">
        <f t="shared" si="4"/>
        <v>Sim</v>
      </c>
      <c r="V35" s="15"/>
      <c r="W35" s="15"/>
    </row>
    <row r="36">
      <c r="B36" s="39">
        <v>46111.0</v>
      </c>
      <c r="C36" s="75">
        <v>39070.0</v>
      </c>
      <c r="D36" s="75">
        <f> 1583021 + 1959962 + 1932240 + 751731</f>
        <v>6226954</v>
      </c>
      <c r="E36" s="75">
        <f> 1749014 + 1258488</f>
        <v>3007502</v>
      </c>
      <c r="F36" s="75">
        <v>0.0</v>
      </c>
      <c r="G36" s="56">
        <f t="shared" si="1"/>
        <v>9234456</v>
      </c>
      <c r="H36" s="104">
        <f t="shared" si="2"/>
        <v>236.3566931</v>
      </c>
      <c r="I36" s="77">
        <f t="shared" si="3"/>
        <v>48.2167654</v>
      </c>
      <c r="J36" s="41" t="str">
        <f t="shared" si="4"/>
        <v>Sim</v>
      </c>
      <c r="V36" s="15"/>
      <c r="W36" s="15"/>
    </row>
    <row r="37">
      <c r="B37" s="39">
        <v>46112.0</v>
      </c>
      <c r="C37" s="75">
        <v>38399.0</v>
      </c>
      <c r="D37" s="75">
        <f> 2272686 + 1253537 + 581213 + 508729</f>
        <v>4616165</v>
      </c>
      <c r="E37" s="75">
        <f> 1643998 + 1393955</f>
        <v>3037953</v>
      </c>
      <c r="F37" s="75">
        <v>0.0</v>
      </c>
      <c r="G37" s="56">
        <f t="shared" si="1"/>
        <v>7654118</v>
      </c>
      <c r="H37" s="104">
        <f t="shared" si="2"/>
        <v>199.3311805</v>
      </c>
      <c r="I37" s="77">
        <f t="shared" si="3"/>
        <v>40.66356082</v>
      </c>
      <c r="J37" s="41" t="str">
        <f t="shared" si="4"/>
        <v>Sim</v>
      </c>
      <c r="V37" s="15"/>
      <c r="W37" s="15"/>
    </row>
    <row r="38">
      <c r="B38" s="39"/>
      <c r="J38" s="15"/>
      <c r="V38" s="15"/>
      <c r="W38" s="15"/>
    </row>
    <row r="39">
      <c r="J39" s="15"/>
      <c r="V39" s="15"/>
      <c r="W39" s="15"/>
    </row>
    <row r="40">
      <c r="J40" s="15"/>
      <c r="V40" s="15"/>
      <c r="W40" s="15"/>
    </row>
    <row r="41">
      <c r="J41" s="15"/>
      <c r="V41" s="15"/>
      <c r="W41" s="15"/>
    </row>
    <row r="42">
      <c r="J42" s="15"/>
      <c r="V42" s="15"/>
      <c r="W42" s="15"/>
    </row>
    <row r="43">
      <c r="J43" s="15"/>
      <c r="V43" s="15"/>
      <c r="W43" s="15"/>
    </row>
    <row r="44">
      <c r="J44" s="15"/>
      <c r="V44" s="15"/>
      <c r="W44" s="15"/>
    </row>
    <row r="45">
      <c r="J45" s="15"/>
      <c r="V45" s="15"/>
      <c r="W45" s="15"/>
    </row>
    <row r="46">
      <c r="J46" s="15"/>
      <c r="V46" s="15"/>
      <c r="W46" s="15"/>
    </row>
    <row r="47">
      <c r="J47" s="15"/>
      <c r="V47" s="15"/>
      <c r="W47" s="15"/>
    </row>
    <row r="48">
      <c r="J48" s="15"/>
      <c r="V48" s="15"/>
      <c r="W48" s="15"/>
    </row>
    <row r="49">
      <c r="J49" s="15"/>
      <c r="V49" s="15"/>
      <c r="W49" s="15"/>
    </row>
    <row r="50">
      <c r="J50" s="15"/>
      <c r="V50" s="15"/>
      <c r="W50" s="15"/>
    </row>
    <row r="51">
      <c r="J51" s="15"/>
      <c r="V51" s="15"/>
      <c r="W51" s="15"/>
    </row>
    <row r="52">
      <c r="J52" s="15"/>
      <c r="V52" s="15"/>
      <c r="W52" s="15"/>
    </row>
    <row r="53">
      <c r="J53" s="15"/>
      <c r="V53" s="15"/>
      <c r="W53" s="15"/>
    </row>
    <row r="54">
      <c r="J54" s="15"/>
      <c r="V54" s="15"/>
      <c r="W54" s="15"/>
    </row>
    <row r="55">
      <c r="J55" s="15"/>
      <c r="V55" s="15"/>
      <c r="W55" s="15"/>
    </row>
    <row r="56">
      <c r="J56" s="15"/>
      <c r="V56" s="15"/>
      <c r="W56" s="15"/>
    </row>
    <row r="57">
      <c r="J57" s="15"/>
      <c r="V57" s="15"/>
      <c r="W57" s="15"/>
    </row>
    <row r="58">
      <c r="J58" s="15"/>
      <c r="V58" s="15"/>
      <c r="W58" s="15"/>
    </row>
    <row r="59">
      <c r="J59" s="15"/>
      <c r="V59" s="15"/>
      <c r="W59" s="15"/>
    </row>
    <row r="60">
      <c r="J60" s="15"/>
      <c r="V60" s="15"/>
      <c r="W60" s="15"/>
    </row>
    <row r="61">
      <c r="J61" s="15"/>
      <c r="V61" s="15"/>
      <c r="W61" s="15"/>
    </row>
    <row r="62">
      <c r="J62" s="15"/>
      <c r="V62" s="15"/>
      <c r="W62" s="15"/>
    </row>
    <row r="63">
      <c r="J63" s="15"/>
      <c r="V63" s="15"/>
      <c r="W63" s="15"/>
    </row>
    <row r="64">
      <c r="J64" s="15"/>
      <c r="V64" s="15"/>
      <c r="W64" s="15"/>
    </row>
    <row r="65">
      <c r="J65" s="15"/>
      <c r="V65" s="15"/>
      <c r="W65" s="15"/>
    </row>
    <row r="66">
      <c r="J66" s="15"/>
      <c r="V66" s="15"/>
      <c r="W66" s="15"/>
    </row>
    <row r="67">
      <c r="J67" s="15"/>
      <c r="V67" s="15"/>
      <c r="W67" s="15"/>
    </row>
    <row r="68">
      <c r="J68" s="15"/>
      <c r="V68" s="15"/>
      <c r="W68" s="15"/>
    </row>
    <row r="69">
      <c r="J69" s="15"/>
      <c r="V69" s="15"/>
      <c r="W69" s="15"/>
    </row>
    <row r="70">
      <c r="J70" s="15"/>
      <c r="V70" s="15"/>
      <c r="W70" s="15"/>
    </row>
    <row r="71">
      <c r="J71" s="15"/>
      <c r="V71" s="15"/>
      <c r="W71" s="15"/>
    </row>
    <row r="72">
      <c r="J72" s="15"/>
      <c r="V72" s="15"/>
      <c r="W72" s="15"/>
    </row>
    <row r="73">
      <c r="J73" s="15"/>
      <c r="V73" s="15"/>
      <c r="W73" s="15"/>
    </row>
    <row r="74">
      <c r="J74" s="15"/>
      <c r="V74" s="15"/>
      <c r="W74" s="15"/>
    </row>
    <row r="75">
      <c r="J75" s="15"/>
      <c r="V75" s="15"/>
      <c r="W75" s="15"/>
    </row>
    <row r="76">
      <c r="J76" s="15"/>
      <c r="V76" s="15"/>
      <c r="W76" s="15"/>
    </row>
    <row r="77">
      <c r="J77" s="15"/>
      <c r="V77" s="15"/>
      <c r="W77" s="15"/>
    </row>
    <row r="78">
      <c r="J78" s="15"/>
      <c r="V78" s="15"/>
      <c r="W78" s="15"/>
    </row>
    <row r="79">
      <c r="J79" s="15"/>
      <c r="V79" s="15"/>
      <c r="W79" s="15"/>
    </row>
    <row r="80">
      <c r="J80" s="15"/>
      <c r="V80" s="15"/>
      <c r="W80" s="15"/>
    </row>
    <row r="81">
      <c r="J81" s="15"/>
      <c r="V81" s="15"/>
      <c r="W81" s="15"/>
    </row>
    <row r="82">
      <c r="J82" s="15"/>
      <c r="V82" s="15"/>
      <c r="W82" s="15"/>
    </row>
    <row r="83">
      <c r="J83" s="15"/>
      <c r="V83" s="15"/>
      <c r="W83" s="15"/>
    </row>
    <row r="84">
      <c r="J84" s="15"/>
      <c r="V84" s="15"/>
      <c r="W84" s="15"/>
    </row>
    <row r="85">
      <c r="J85" s="15"/>
      <c r="V85" s="15"/>
      <c r="W85" s="15"/>
    </row>
    <row r="86">
      <c r="J86" s="15"/>
      <c r="V86" s="15"/>
      <c r="W86" s="15"/>
    </row>
    <row r="87">
      <c r="J87" s="15"/>
      <c r="V87" s="15"/>
      <c r="W87" s="15"/>
    </row>
    <row r="88">
      <c r="J88" s="15"/>
      <c r="V88" s="15"/>
      <c r="W88" s="15"/>
    </row>
    <row r="89">
      <c r="J89" s="15"/>
      <c r="V89" s="15"/>
      <c r="W89" s="15"/>
    </row>
    <row r="90">
      <c r="J90" s="15"/>
      <c r="V90" s="15"/>
      <c r="W90" s="15"/>
    </row>
    <row r="91">
      <c r="J91" s="15"/>
      <c r="V91" s="15"/>
      <c r="W91" s="15"/>
    </row>
    <row r="92">
      <c r="J92" s="15"/>
      <c r="V92" s="15"/>
      <c r="W92" s="15"/>
    </row>
    <row r="93">
      <c r="J93" s="15"/>
      <c r="V93" s="15"/>
      <c r="W93" s="15"/>
    </row>
    <row r="94">
      <c r="J94" s="15"/>
      <c r="V94" s="15"/>
      <c r="W94" s="15"/>
    </row>
    <row r="95">
      <c r="J95" s="15"/>
      <c r="V95" s="15"/>
      <c r="W95" s="15"/>
    </row>
    <row r="96">
      <c r="J96" s="15"/>
      <c r="V96" s="15"/>
      <c r="W96" s="15"/>
    </row>
    <row r="97">
      <c r="J97" s="15"/>
      <c r="V97" s="15"/>
      <c r="W97" s="15"/>
    </row>
    <row r="98">
      <c r="J98" s="15"/>
      <c r="V98" s="15"/>
      <c r="W98" s="15"/>
    </row>
    <row r="99">
      <c r="J99" s="15"/>
      <c r="V99" s="15"/>
      <c r="W99" s="15"/>
    </row>
    <row r="100">
      <c r="J100" s="15"/>
      <c r="V100" s="15"/>
      <c r="W100" s="15"/>
    </row>
    <row r="101">
      <c r="J101" s="15"/>
      <c r="V101" s="15"/>
      <c r="W101" s="15"/>
    </row>
    <row r="102">
      <c r="J102" s="15"/>
      <c r="V102" s="15"/>
      <c r="W102" s="15"/>
    </row>
    <row r="103">
      <c r="J103" s="15"/>
      <c r="V103" s="15"/>
      <c r="W103" s="15"/>
    </row>
    <row r="104">
      <c r="J104" s="15"/>
      <c r="V104" s="15"/>
      <c r="W104" s="15"/>
    </row>
    <row r="105">
      <c r="J105" s="15"/>
      <c r="V105" s="15"/>
      <c r="W105" s="15"/>
    </row>
    <row r="106">
      <c r="J106" s="15"/>
      <c r="V106" s="15"/>
      <c r="W106" s="15"/>
    </row>
    <row r="107">
      <c r="J107" s="15"/>
      <c r="V107" s="15"/>
      <c r="W107" s="15"/>
    </row>
    <row r="108">
      <c r="J108" s="15"/>
      <c r="V108" s="15"/>
      <c r="W108" s="15"/>
    </row>
    <row r="109">
      <c r="J109" s="15"/>
      <c r="V109" s="15"/>
      <c r="W109" s="15"/>
    </row>
    <row r="110">
      <c r="J110" s="15"/>
      <c r="V110" s="15"/>
      <c r="W110" s="15"/>
    </row>
    <row r="111">
      <c r="J111" s="15"/>
      <c r="V111" s="15"/>
      <c r="W111" s="15"/>
    </row>
    <row r="112">
      <c r="J112" s="15"/>
      <c r="V112" s="15"/>
      <c r="W112" s="15"/>
    </row>
    <row r="113">
      <c r="J113" s="15"/>
      <c r="V113" s="15"/>
      <c r="W113" s="15"/>
    </row>
    <row r="114">
      <c r="J114" s="15"/>
      <c r="V114" s="15"/>
      <c r="W114" s="15"/>
    </row>
    <row r="115">
      <c r="J115" s="15"/>
      <c r="V115" s="15"/>
      <c r="W115" s="15"/>
    </row>
    <row r="116">
      <c r="J116" s="15"/>
      <c r="V116" s="15"/>
      <c r="W116" s="15"/>
    </row>
    <row r="117">
      <c r="J117" s="15"/>
      <c r="V117" s="15"/>
      <c r="W117" s="15"/>
    </row>
    <row r="118">
      <c r="J118" s="15"/>
      <c r="V118" s="15"/>
      <c r="W118" s="15"/>
    </row>
    <row r="119">
      <c r="J119" s="15"/>
      <c r="V119" s="15"/>
      <c r="W119" s="15"/>
    </row>
    <row r="120">
      <c r="J120" s="15"/>
      <c r="V120" s="15"/>
      <c r="W120" s="15"/>
    </row>
    <row r="121">
      <c r="J121" s="15"/>
      <c r="V121" s="15"/>
      <c r="W121" s="15"/>
    </row>
    <row r="122">
      <c r="J122" s="15"/>
      <c r="V122" s="15"/>
      <c r="W122" s="15"/>
    </row>
    <row r="123">
      <c r="J123" s="15"/>
      <c r="V123" s="15"/>
      <c r="W123" s="15"/>
    </row>
    <row r="124">
      <c r="J124" s="15"/>
      <c r="V124" s="15"/>
      <c r="W124" s="15"/>
    </row>
    <row r="125">
      <c r="J125" s="15"/>
      <c r="V125" s="15"/>
      <c r="W125" s="15"/>
    </row>
    <row r="126">
      <c r="J126" s="15"/>
      <c r="V126" s="15"/>
      <c r="W126" s="15"/>
    </row>
    <row r="127">
      <c r="J127" s="15"/>
      <c r="V127" s="15"/>
      <c r="W127" s="15"/>
    </row>
    <row r="128">
      <c r="J128" s="15"/>
      <c r="V128" s="15"/>
      <c r="W128" s="15"/>
    </row>
    <row r="129">
      <c r="J129" s="15"/>
      <c r="V129" s="15"/>
      <c r="W129" s="15"/>
    </row>
    <row r="130">
      <c r="J130" s="15"/>
      <c r="V130" s="15"/>
      <c r="W130" s="15"/>
    </row>
    <row r="131">
      <c r="J131" s="15"/>
      <c r="V131" s="15"/>
      <c r="W131" s="15"/>
    </row>
    <row r="132">
      <c r="J132" s="15"/>
      <c r="V132" s="15"/>
      <c r="W132" s="15"/>
    </row>
    <row r="133">
      <c r="J133" s="15"/>
      <c r="V133" s="15"/>
      <c r="W133" s="15"/>
    </row>
    <row r="134">
      <c r="J134" s="15"/>
      <c r="V134" s="15"/>
      <c r="W134" s="15"/>
    </row>
    <row r="135">
      <c r="J135" s="15"/>
      <c r="V135" s="15"/>
      <c r="W135" s="15"/>
    </row>
    <row r="136">
      <c r="J136" s="15"/>
      <c r="V136" s="15"/>
      <c r="W136" s="15"/>
    </row>
    <row r="137">
      <c r="J137" s="15"/>
      <c r="V137" s="15"/>
      <c r="W137" s="15"/>
    </row>
    <row r="138">
      <c r="J138" s="15"/>
      <c r="V138" s="15"/>
      <c r="W138" s="15"/>
    </row>
    <row r="139">
      <c r="J139" s="15"/>
      <c r="V139" s="15"/>
      <c r="W139" s="15"/>
    </row>
    <row r="140">
      <c r="J140" s="15"/>
      <c r="V140" s="15"/>
      <c r="W140" s="15"/>
    </row>
    <row r="141">
      <c r="J141" s="15"/>
      <c r="V141" s="15"/>
      <c r="W141" s="15"/>
    </row>
    <row r="142">
      <c r="J142" s="15"/>
      <c r="V142" s="15"/>
      <c r="W142" s="15"/>
    </row>
    <row r="143">
      <c r="J143" s="15"/>
      <c r="V143" s="15"/>
      <c r="W143" s="15"/>
    </row>
    <row r="144">
      <c r="J144" s="15"/>
      <c r="V144" s="15"/>
      <c r="W144" s="15"/>
    </row>
    <row r="145">
      <c r="J145" s="15"/>
      <c r="V145" s="15"/>
      <c r="W145" s="15"/>
    </row>
    <row r="146">
      <c r="J146" s="15"/>
      <c r="V146" s="15"/>
      <c r="W146" s="15"/>
    </row>
    <row r="147">
      <c r="J147" s="15"/>
      <c r="V147" s="15"/>
      <c r="W147" s="15"/>
    </row>
    <row r="148">
      <c r="J148" s="15"/>
      <c r="V148" s="15"/>
      <c r="W148" s="15"/>
    </row>
    <row r="149">
      <c r="J149" s="15"/>
      <c r="V149" s="15"/>
      <c r="W149" s="15"/>
    </row>
    <row r="150">
      <c r="J150" s="15"/>
      <c r="V150" s="15"/>
      <c r="W150" s="15"/>
    </row>
    <row r="151">
      <c r="J151" s="15"/>
      <c r="V151" s="15"/>
      <c r="W151" s="15"/>
    </row>
    <row r="152">
      <c r="J152" s="15"/>
      <c r="V152" s="15"/>
      <c r="W152" s="15"/>
    </row>
    <row r="153">
      <c r="J153" s="15"/>
      <c r="V153" s="15"/>
      <c r="W153" s="15"/>
    </row>
    <row r="154">
      <c r="J154" s="15"/>
      <c r="V154" s="15"/>
      <c r="W154" s="15"/>
    </row>
    <row r="155">
      <c r="J155" s="15"/>
      <c r="V155" s="15"/>
      <c r="W155" s="15"/>
    </row>
    <row r="156">
      <c r="J156" s="15"/>
      <c r="V156" s="15"/>
      <c r="W156" s="15"/>
    </row>
    <row r="157">
      <c r="J157" s="15"/>
      <c r="V157" s="15"/>
      <c r="W157" s="15"/>
    </row>
    <row r="158">
      <c r="J158" s="15"/>
      <c r="V158" s="15"/>
      <c r="W158" s="15"/>
    </row>
    <row r="159">
      <c r="J159" s="15"/>
      <c r="V159" s="15"/>
      <c r="W159" s="15"/>
    </row>
    <row r="160">
      <c r="J160" s="15"/>
      <c r="V160" s="15"/>
      <c r="W160" s="15"/>
    </row>
    <row r="161">
      <c r="J161" s="15"/>
      <c r="V161" s="15"/>
      <c r="W161" s="15"/>
    </row>
    <row r="162">
      <c r="J162" s="15"/>
      <c r="V162" s="15"/>
      <c r="W162" s="15"/>
    </row>
    <row r="163">
      <c r="J163" s="15"/>
      <c r="V163" s="15"/>
      <c r="W163" s="15"/>
    </row>
    <row r="164">
      <c r="J164" s="15"/>
      <c r="V164" s="15"/>
      <c r="W164" s="15"/>
    </row>
    <row r="165">
      <c r="J165" s="15"/>
      <c r="V165" s="15"/>
      <c r="W165" s="15"/>
    </row>
    <row r="166">
      <c r="J166" s="15"/>
      <c r="V166" s="15"/>
      <c r="W166" s="15"/>
    </row>
    <row r="167">
      <c r="J167" s="15"/>
      <c r="V167" s="15"/>
      <c r="W167" s="15"/>
    </row>
    <row r="168">
      <c r="J168" s="15"/>
      <c r="V168" s="15"/>
      <c r="W168" s="15"/>
    </row>
    <row r="169">
      <c r="J169" s="15"/>
      <c r="V169" s="15"/>
      <c r="W169" s="15"/>
    </row>
    <row r="170">
      <c r="J170" s="15"/>
      <c r="V170" s="15"/>
      <c r="W170" s="15"/>
    </row>
    <row r="171">
      <c r="J171" s="15"/>
      <c r="V171" s="15"/>
      <c r="W171" s="15"/>
    </row>
    <row r="172">
      <c r="J172" s="15"/>
      <c r="V172" s="15"/>
      <c r="W172" s="15"/>
    </row>
    <row r="173">
      <c r="J173" s="15"/>
      <c r="V173" s="15"/>
      <c r="W173" s="15"/>
    </row>
    <row r="174">
      <c r="J174" s="15"/>
      <c r="V174" s="15"/>
      <c r="W174" s="15"/>
    </row>
    <row r="175">
      <c r="J175" s="15"/>
      <c r="V175" s="15"/>
      <c r="W175" s="15"/>
    </row>
    <row r="176">
      <c r="J176" s="15"/>
      <c r="V176" s="15"/>
      <c r="W176" s="15"/>
    </row>
    <row r="177">
      <c r="J177" s="15"/>
      <c r="V177" s="15"/>
      <c r="W177" s="15"/>
    </row>
    <row r="178">
      <c r="J178" s="15"/>
      <c r="V178" s="15"/>
      <c r="W178" s="15"/>
    </row>
    <row r="179">
      <c r="J179" s="15"/>
      <c r="V179" s="15"/>
      <c r="W179" s="15"/>
    </row>
    <row r="180">
      <c r="J180" s="15"/>
      <c r="V180" s="15"/>
      <c r="W180" s="15"/>
    </row>
    <row r="181">
      <c r="J181" s="15"/>
      <c r="V181" s="15"/>
      <c r="W181" s="15"/>
    </row>
    <row r="182">
      <c r="J182" s="15"/>
      <c r="V182" s="15"/>
      <c r="W182" s="15"/>
    </row>
    <row r="183">
      <c r="J183" s="15"/>
      <c r="V183" s="15"/>
      <c r="W183" s="15"/>
    </row>
    <row r="184">
      <c r="J184" s="15"/>
      <c r="V184" s="15"/>
      <c r="W184" s="15"/>
    </row>
    <row r="185">
      <c r="J185" s="15"/>
      <c r="V185" s="15"/>
      <c r="W185" s="15"/>
    </row>
    <row r="186">
      <c r="J186" s="15"/>
      <c r="V186" s="15"/>
      <c r="W186" s="15"/>
    </row>
    <row r="187">
      <c r="J187" s="15"/>
      <c r="V187" s="15"/>
      <c r="W187" s="15"/>
    </row>
    <row r="188">
      <c r="J188" s="15"/>
      <c r="V188" s="15"/>
      <c r="W188" s="15"/>
    </row>
    <row r="189">
      <c r="J189" s="15"/>
      <c r="V189" s="15"/>
      <c r="W189" s="15"/>
    </row>
    <row r="190">
      <c r="J190" s="15"/>
      <c r="V190" s="15"/>
      <c r="W190" s="15"/>
    </row>
    <row r="191">
      <c r="J191" s="15"/>
      <c r="V191" s="15"/>
      <c r="W191" s="15"/>
    </row>
    <row r="192">
      <c r="J192" s="15"/>
      <c r="V192" s="15"/>
      <c r="W192" s="15"/>
    </row>
    <row r="193">
      <c r="J193" s="15"/>
      <c r="V193" s="15"/>
      <c r="W193" s="15"/>
    </row>
    <row r="194">
      <c r="J194" s="15"/>
      <c r="V194" s="15"/>
      <c r="W194" s="15"/>
    </row>
    <row r="195">
      <c r="J195" s="15"/>
      <c r="V195" s="15"/>
      <c r="W195" s="15"/>
    </row>
    <row r="196">
      <c r="J196" s="15"/>
      <c r="V196" s="15"/>
      <c r="W196" s="15"/>
    </row>
    <row r="197">
      <c r="J197" s="15"/>
      <c r="V197" s="15"/>
      <c r="W197" s="15"/>
    </row>
    <row r="198">
      <c r="J198" s="15"/>
      <c r="V198" s="15"/>
      <c r="W198" s="15"/>
    </row>
    <row r="199">
      <c r="J199" s="15"/>
      <c r="V199" s="15"/>
      <c r="W199" s="15"/>
    </row>
    <row r="200">
      <c r="J200" s="15"/>
      <c r="V200" s="15"/>
      <c r="W200" s="15"/>
    </row>
    <row r="201">
      <c r="J201" s="15"/>
      <c r="V201" s="15"/>
      <c r="W201" s="15"/>
    </row>
    <row r="202">
      <c r="J202" s="15"/>
      <c r="V202" s="15"/>
      <c r="W202" s="15"/>
    </row>
    <row r="203">
      <c r="J203" s="15"/>
      <c r="V203" s="15"/>
      <c r="W203" s="15"/>
    </row>
    <row r="204">
      <c r="J204" s="15"/>
      <c r="V204" s="15"/>
      <c r="W204" s="15"/>
    </row>
    <row r="205">
      <c r="J205" s="15"/>
      <c r="V205" s="15"/>
      <c r="W205" s="15"/>
    </row>
    <row r="206">
      <c r="J206" s="15"/>
      <c r="V206" s="15"/>
      <c r="W206" s="15"/>
    </row>
    <row r="207">
      <c r="J207" s="15"/>
      <c r="V207" s="15"/>
      <c r="W207" s="15"/>
    </row>
    <row r="208">
      <c r="J208" s="15"/>
      <c r="V208" s="15"/>
      <c r="W208" s="15"/>
    </row>
    <row r="209">
      <c r="J209" s="15"/>
      <c r="V209" s="15"/>
      <c r="W209" s="15"/>
    </row>
    <row r="210">
      <c r="J210" s="15"/>
      <c r="V210" s="15"/>
      <c r="W210" s="15"/>
    </row>
    <row r="211">
      <c r="J211" s="15"/>
      <c r="V211" s="15"/>
      <c r="W211" s="15"/>
    </row>
    <row r="212">
      <c r="J212" s="15"/>
      <c r="V212" s="15"/>
      <c r="W212" s="15"/>
    </row>
    <row r="213">
      <c r="J213" s="15"/>
      <c r="V213" s="15"/>
      <c r="W213" s="15"/>
    </row>
    <row r="214">
      <c r="J214" s="15"/>
      <c r="V214" s="15"/>
      <c r="W214" s="15"/>
    </row>
    <row r="215">
      <c r="J215" s="15"/>
      <c r="V215" s="15"/>
      <c r="W215" s="15"/>
    </row>
    <row r="216">
      <c r="J216" s="15"/>
      <c r="V216" s="15"/>
      <c r="W216" s="15"/>
    </row>
    <row r="217">
      <c r="J217" s="15"/>
      <c r="V217" s="15"/>
      <c r="W217" s="15"/>
    </row>
    <row r="218">
      <c r="J218" s="15"/>
      <c r="V218" s="15"/>
      <c r="W218" s="15"/>
    </row>
    <row r="219">
      <c r="J219" s="15"/>
      <c r="V219" s="15"/>
      <c r="W219" s="15"/>
    </row>
    <row r="220">
      <c r="J220" s="15"/>
      <c r="V220" s="15"/>
      <c r="W220" s="15"/>
    </row>
    <row r="221">
      <c r="J221" s="15"/>
      <c r="V221" s="15"/>
      <c r="W221" s="15"/>
    </row>
    <row r="222">
      <c r="J222" s="15"/>
      <c r="V222" s="15"/>
      <c r="W222" s="15"/>
    </row>
    <row r="223">
      <c r="J223" s="15"/>
      <c r="V223" s="15"/>
      <c r="W223" s="15"/>
    </row>
    <row r="224">
      <c r="J224" s="15"/>
      <c r="V224" s="15"/>
      <c r="W224" s="15"/>
    </row>
    <row r="225">
      <c r="J225" s="15"/>
      <c r="V225" s="15"/>
      <c r="W225" s="15"/>
    </row>
    <row r="226">
      <c r="J226" s="15"/>
      <c r="V226" s="15"/>
      <c r="W226" s="15"/>
    </row>
    <row r="227">
      <c r="J227" s="15"/>
      <c r="V227" s="15"/>
      <c r="W227" s="15"/>
    </row>
    <row r="228">
      <c r="J228" s="15"/>
      <c r="V228" s="15"/>
      <c r="W228" s="15"/>
    </row>
    <row r="229">
      <c r="J229" s="15"/>
      <c r="V229" s="15"/>
      <c r="W229" s="15"/>
    </row>
    <row r="230">
      <c r="J230" s="15"/>
      <c r="V230" s="15"/>
      <c r="W230" s="15"/>
    </row>
    <row r="231">
      <c r="J231" s="15"/>
      <c r="V231" s="15"/>
      <c r="W231" s="15"/>
    </row>
    <row r="232">
      <c r="J232" s="15"/>
      <c r="V232" s="15"/>
      <c r="W232" s="15"/>
    </row>
    <row r="233">
      <c r="J233" s="15"/>
      <c r="V233" s="15"/>
      <c r="W233" s="15"/>
    </row>
    <row r="234">
      <c r="J234" s="15"/>
      <c r="V234" s="15"/>
      <c r="W234" s="15"/>
    </row>
    <row r="235">
      <c r="J235" s="15"/>
      <c r="V235" s="15"/>
      <c r="W235" s="15"/>
    </row>
    <row r="236">
      <c r="J236" s="15"/>
      <c r="V236" s="15"/>
      <c r="W236" s="15"/>
    </row>
    <row r="237">
      <c r="J237" s="15"/>
      <c r="V237" s="15"/>
      <c r="W237" s="15"/>
    </row>
    <row r="238">
      <c r="J238" s="15"/>
      <c r="V238" s="15"/>
      <c r="W238" s="15"/>
    </row>
    <row r="239">
      <c r="J239" s="15"/>
      <c r="V239" s="15"/>
      <c r="W239" s="15"/>
    </row>
    <row r="240">
      <c r="J240" s="15"/>
      <c r="V240" s="15"/>
      <c r="W240" s="15"/>
    </row>
    <row r="241">
      <c r="J241" s="15"/>
      <c r="V241" s="15"/>
      <c r="W241" s="15"/>
    </row>
    <row r="242">
      <c r="J242" s="15"/>
      <c r="V242" s="15"/>
      <c r="W242" s="15"/>
    </row>
    <row r="243">
      <c r="J243" s="15"/>
      <c r="V243" s="15"/>
      <c r="W243" s="15"/>
    </row>
    <row r="244">
      <c r="J244" s="15"/>
      <c r="V244" s="15"/>
      <c r="W244" s="15"/>
    </row>
    <row r="245">
      <c r="J245" s="15"/>
      <c r="V245" s="15"/>
      <c r="W245" s="15"/>
    </row>
    <row r="246">
      <c r="J246" s="15"/>
      <c r="V246" s="15"/>
      <c r="W246" s="15"/>
    </row>
    <row r="247">
      <c r="J247" s="15"/>
      <c r="V247" s="15"/>
      <c r="W247" s="15"/>
    </row>
    <row r="248">
      <c r="J248" s="15"/>
      <c r="V248" s="15"/>
      <c r="W248" s="15"/>
    </row>
    <row r="249">
      <c r="J249" s="15"/>
      <c r="V249" s="15"/>
      <c r="W249" s="15"/>
    </row>
    <row r="250">
      <c r="J250" s="15"/>
      <c r="V250" s="15"/>
      <c r="W250" s="15"/>
    </row>
    <row r="251">
      <c r="J251" s="15"/>
      <c r="V251" s="15"/>
      <c r="W251" s="15"/>
    </row>
    <row r="252">
      <c r="J252" s="15"/>
      <c r="V252" s="15"/>
      <c r="W252" s="15"/>
    </row>
    <row r="253">
      <c r="J253" s="15"/>
      <c r="V253" s="15"/>
      <c r="W253" s="15"/>
    </row>
    <row r="254">
      <c r="J254" s="15"/>
      <c r="V254" s="15"/>
      <c r="W254" s="15"/>
    </row>
    <row r="255">
      <c r="J255" s="15"/>
      <c r="V255" s="15"/>
      <c r="W255" s="15"/>
    </row>
    <row r="256">
      <c r="J256" s="15"/>
      <c r="V256" s="15"/>
      <c r="W256" s="15"/>
    </row>
    <row r="257">
      <c r="J257" s="15"/>
      <c r="V257" s="15"/>
      <c r="W257" s="15"/>
    </row>
    <row r="258">
      <c r="J258" s="15"/>
      <c r="V258" s="15"/>
      <c r="W258" s="15"/>
    </row>
    <row r="259">
      <c r="J259" s="15"/>
      <c r="V259" s="15"/>
      <c r="W259" s="15"/>
    </row>
    <row r="260">
      <c r="J260" s="15"/>
      <c r="V260" s="15"/>
      <c r="W260" s="15"/>
    </row>
    <row r="261">
      <c r="J261" s="15"/>
      <c r="V261" s="15"/>
      <c r="W261" s="15"/>
    </row>
    <row r="262">
      <c r="J262" s="15"/>
      <c r="V262" s="15"/>
      <c r="W262" s="15"/>
    </row>
    <row r="263">
      <c r="J263" s="15"/>
      <c r="V263" s="15"/>
      <c r="W263" s="15"/>
    </row>
    <row r="264">
      <c r="J264" s="15"/>
      <c r="V264" s="15"/>
      <c r="W264" s="15"/>
    </row>
    <row r="265">
      <c r="J265" s="15"/>
      <c r="V265" s="15"/>
      <c r="W265" s="15"/>
    </row>
    <row r="266">
      <c r="J266" s="15"/>
      <c r="V266" s="15"/>
      <c r="W266" s="15"/>
    </row>
    <row r="267">
      <c r="J267" s="15"/>
      <c r="V267" s="15"/>
      <c r="W267" s="15"/>
    </row>
    <row r="268">
      <c r="J268" s="15"/>
      <c r="V268" s="15"/>
      <c r="W268" s="15"/>
    </row>
    <row r="269">
      <c r="J269" s="15"/>
      <c r="V269" s="15"/>
      <c r="W269" s="15"/>
    </row>
    <row r="270">
      <c r="J270" s="15"/>
      <c r="V270" s="15"/>
      <c r="W270" s="15"/>
    </row>
    <row r="271">
      <c r="J271" s="15"/>
      <c r="V271" s="15"/>
      <c r="W271" s="15"/>
    </row>
    <row r="272">
      <c r="J272" s="15"/>
      <c r="V272" s="15"/>
      <c r="W272" s="15"/>
    </row>
    <row r="273">
      <c r="J273" s="15"/>
      <c r="V273" s="15"/>
      <c r="W273" s="15"/>
    </row>
    <row r="274">
      <c r="J274" s="15"/>
      <c r="V274" s="15"/>
      <c r="W274" s="15"/>
    </row>
    <row r="275">
      <c r="J275" s="15"/>
      <c r="V275" s="15"/>
      <c r="W275" s="15"/>
    </row>
    <row r="276">
      <c r="J276" s="15"/>
      <c r="V276" s="15"/>
      <c r="W276" s="15"/>
    </row>
    <row r="277">
      <c r="J277" s="15"/>
      <c r="V277" s="15"/>
      <c r="W277" s="15"/>
    </row>
    <row r="278">
      <c r="J278" s="15"/>
      <c r="V278" s="15"/>
      <c r="W278" s="15"/>
    </row>
    <row r="279">
      <c r="J279" s="15"/>
      <c r="V279" s="15"/>
      <c r="W279" s="15"/>
    </row>
    <row r="280">
      <c r="J280" s="15"/>
      <c r="V280" s="15"/>
      <c r="W280" s="15"/>
    </row>
    <row r="281">
      <c r="J281" s="15"/>
      <c r="V281" s="15"/>
      <c r="W281" s="15"/>
    </row>
    <row r="282">
      <c r="J282" s="15"/>
      <c r="V282" s="15"/>
      <c r="W282" s="15"/>
    </row>
    <row r="283">
      <c r="J283" s="15"/>
      <c r="V283" s="15"/>
      <c r="W283" s="15"/>
    </row>
    <row r="284">
      <c r="J284" s="15"/>
      <c r="V284" s="15"/>
      <c r="W284" s="15"/>
    </row>
    <row r="285">
      <c r="J285" s="15"/>
      <c r="V285" s="15"/>
      <c r="W285" s="15"/>
    </row>
    <row r="286">
      <c r="J286" s="15"/>
      <c r="V286" s="15"/>
      <c r="W286" s="15"/>
    </row>
    <row r="287">
      <c r="J287" s="15"/>
      <c r="V287" s="15"/>
      <c r="W287" s="15"/>
    </row>
    <row r="288">
      <c r="J288" s="15"/>
      <c r="V288" s="15"/>
      <c r="W288" s="15"/>
    </row>
    <row r="289">
      <c r="J289" s="15"/>
      <c r="V289" s="15"/>
      <c r="W289" s="15"/>
    </row>
    <row r="290">
      <c r="J290" s="15"/>
      <c r="V290" s="15"/>
      <c r="W290" s="15"/>
    </row>
    <row r="291">
      <c r="J291" s="15"/>
      <c r="V291" s="15"/>
      <c r="W291" s="15"/>
    </row>
    <row r="292">
      <c r="J292" s="15"/>
      <c r="V292" s="15"/>
      <c r="W292" s="15"/>
    </row>
    <row r="293">
      <c r="J293" s="15"/>
      <c r="V293" s="15"/>
      <c r="W293" s="15"/>
    </row>
    <row r="294">
      <c r="J294" s="15"/>
      <c r="V294" s="15"/>
      <c r="W294" s="15"/>
    </row>
    <row r="295">
      <c r="J295" s="15"/>
      <c r="V295" s="15"/>
      <c r="W295" s="15"/>
    </row>
    <row r="296">
      <c r="J296" s="15"/>
      <c r="V296" s="15"/>
      <c r="W296" s="15"/>
    </row>
    <row r="297">
      <c r="J297" s="15"/>
      <c r="V297" s="15"/>
      <c r="W297" s="15"/>
    </row>
    <row r="298">
      <c r="J298" s="15"/>
      <c r="V298" s="15"/>
      <c r="W298" s="15"/>
    </row>
    <row r="299">
      <c r="J299" s="15"/>
      <c r="V299" s="15"/>
      <c r="W299" s="15"/>
    </row>
    <row r="300">
      <c r="J300" s="15"/>
      <c r="V300" s="15"/>
      <c r="W300" s="15"/>
    </row>
    <row r="301">
      <c r="J301" s="15"/>
      <c r="V301" s="15"/>
      <c r="W301" s="15"/>
    </row>
    <row r="302">
      <c r="J302" s="15"/>
      <c r="V302" s="15"/>
      <c r="W302" s="15"/>
    </row>
    <row r="303">
      <c r="J303" s="15"/>
      <c r="V303" s="15"/>
      <c r="W303" s="15"/>
    </row>
    <row r="304">
      <c r="J304" s="15"/>
      <c r="V304" s="15"/>
      <c r="W304" s="15"/>
    </row>
    <row r="305">
      <c r="J305" s="15"/>
      <c r="V305" s="15"/>
      <c r="W305" s="15"/>
    </row>
    <row r="306">
      <c r="J306" s="15"/>
      <c r="V306" s="15"/>
      <c r="W306" s="15"/>
    </row>
    <row r="307">
      <c r="J307" s="15"/>
      <c r="V307" s="15"/>
      <c r="W307" s="15"/>
    </row>
    <row r="308">
      <c r="J308" s="15"/>
      <c r="V308" s="15"/>
      <c r="W308" s="15"/>
    </row>
    <row r="309">
      <c r="J309" s="15"/>
      <c r="V309" s="15"/>
      <c r="W309" s="15"/>
    </row>
    <row r="310">
      <c r="J310" s="15"/>
      <c r="V310" s="15"/>
      <c r="W310" s="15"/>
    </row>
    <row r="311">
      <c r="J311" s="15"/>
      <c r="V311" s="15"/>
      <c r="W311" s="15"/>
    </row>
    <row r="312">
      <c r="J312" s="15"/>
      <c r="V312" s="15"/>
      <c r="W312" s="15"/>
    </row>
    <row r="313">
      <c r="J313" s="15"/>
      <c r="V313" s="15"/>
      <c r="W313" s="15"/>
    </row>
    <row r="314">
      <c r="J314" s="15"/>
      <c r="V314" s="15"/>
      <c r="W314" s="15"/>
    </row>
    <row r="315">
      <c r="J315" s="15"/>
      <c r="V315" s="15"/>
      <c r="W315" s="15"/>
    </row>
    <row r="316">
      <c r="J316" s="15"/>
      <c r="V316" s="15"/>
      <c r="W316" s="15"/>
    </row>
    <row r="317">
      <c r="J317" s="15"/>
      <c r="V317" s="15"/>
      <c r="W317" s="15"/>
    </row>
    <row r="318">
      <c r="J318" s="15"/>
      <c r="V318" s="15"/>
      <c r="W318" s="15"/>
    </row>
    <row r="319">
      <c r="J319" s="15"/>
      <c r="V319" s="15"/>
      <c r="W319" s="15"/>
    </row>
    <row r="320">
      <c r="J320" s="15"/>
      <c r="V320" s="15"/>
      <c r="W320" s="15"/>
    </row>
    <row r="321">
      <c r="J321" s="15"/>
      <c r="V321" s="15"/>
      <c r="W321" s="15"/>
    </row>
    <row r="322">
      <c r="J322" s="15"/>
      <c r="V322" s="15"/>
      <c r="W322" s="15"/>
    </row>
    <row r="323">
      <c r="J323" s="15"/>
      <c r="V323" s="15"/>
      <c r="W323" s="15"/>
    </row>
    <row r="324">
      <c r="J324" s="15"/>
      <c r="V324" s="15"/>
      <c r="W324" s="15"/>
    </row>
    <row r="325">
      <c r="J325" s="15"/>
      <c r="V325" s="15"/>
      <c r="W325" s="15"/>
    </row>
    <row r="326">
      <c r="J326" s="15"/>
      <c r="V326" s="15"/>
      <c r="W326" s="15"/>
    </row>
    <row r="327">
      <c r="J327" s="15"/>
      <c r="V327" s="15"/>
      <c r="W327" s="15"/>
    </row>
    <row r="328">
      <c r="J328" s="15"/>
      <c r="V328" s="15"/>
      <c r="W328" s="15"/>
    </row>
    <row r="329">
      <c r="J329" s="15"/>
      <c r="V329" s="15"/>
      <c r="W329" s="15"/>
    </row>
    <row r="330">
      <c r="J330" s="15"/>
      <c r="V330" s="15"/>
      <c r="W330" s="15"/>
    </row>
    <row r="331">
      <c r="J331" s="15"/>
      <c r="V331" s="15"/>
      <c r="W331" s="15"/>
    </row>
    <row r="332">
      <c r="J332" s="15"/>
      <c r="V332" s="15"/>
      <c r="W332" s="15"/>
    </row>
    <row r="333">
      <c r="J333" s="15"/>
      <c r="V333" s="15"/>
      <c r="W333" s="15"/>
    </row>
    <row r="334">
      <c r="J334" s="15"/>
      <c r="V334" s="15"/>
      <c r="W334" s="15"/>
    </row>
    <row r="335">
      <c r="J335" s="15"/>
      <c r="V335" s="15"/>
      <c r="W335" s="15"/>
    </row>
    <row r="336">
      <c r="J336" s="15"/>
      <c r="V336" s="15"/>
      <c r="W336" s="15"/>
    </row>
    <row r="337">
      <c r="J337" s="15"/>
      <c r="V337" s="15"/>
      <c r="W337" s="15"/>
    </row>
    <row r="338">
      <c r="J338" s="15"/>
      <c r="V338" s="15"/>
      <c r="W338" s="15"/>
    </row>
    <row r="339">
      <c r="J339" s="15"/>
      <c r="V339" s="15"/>
      <c r="W339" s="15"/>
    </row>
    <row r="340">
      <c r="J340" s="15"/>
      <c r="V340" s="15"/>
      <c r="W340" s="15"/>
    </row>
    <row r="341">
      <c r="J341" s="15"/>
      <c r="V341" s="15"/>
      <c r="W341" s="15"/>
    </row>
    <row r="342">
      <c r="J342" s="15"/>
      <c r="V342" s="15"/>
      <c r="W342" s="15"/>
    </row>
    <row r="343">
      <c r="J343" s="15"/>
      <c r="V343" s="15"/>
      <c r="W343" s="15"/>
    </row>
    <row r="344">
      <c r="J344" s="15"/>
      <c r="V344" s="15"/>
      <c r="W344" s="15"/>
    </row>
    <row r="345">
      <c r="J345" s="15"/>
      <c r="V345" s="15"/>
      <c r="W345" s="15"/>
    </row>
    <row r="346">
      <c r="J346" s="15"/>
      <c r="V346" s="15"/>
      <c r="W346" s="15"/>
    </row>
    <row r="347">
      <c r="J347" s="15"/>
      <c r="V347" s="15"/>
      <c r="W347" s="15"/>
    </row>
    <row r="348">
      <c r="J348" s="15"/>
      <c r="V348" s="15"/>
      <c r="W348" s="15"/>
    </row>
    <row r="349">
      <c r="J349" s="15"/>
      <c r="V349" s="15"/>
      <c r="W349" s="15"/>
    </row>
    <row r="350">
      <c r="J350" s="15"/>
      <c r="V350" s="15"/>
      <c r="W350" s="15"/>
    </row>
    <row r="351">
      <c r="J351" s="15"/>
      <c r="V351" s="15"/>
      <c r="W351" s="15"/>
    </row>
    <row r="352">
      <c r="J352" s="15"/>
      <c r="V352" s="15"/>
      <c r="W352" s="15"/>
    </row>
    <row r="353">
      <c r="J353" s="15"/>
      <c r="V353" s="15"/>
      <c r="W353" s="15"/>
    </row>
    <row r="354">
      <c r="J354" s="15"/>
      <c r="V354" s="15"/>
      <c r="W354" s="15"/>
    </row>
    <row r="355">
      <c r="J355" s="15"/>
      <c r="V355" s="15"/>
      <c r="W355" s="15"/>
    </row>
    <row r="356">
      <c r="J356" s="15"/>
      <c r="V356" s="15"/>
      <c r="W356" s="15"/>
    </row>
    <row r="357">
      <c r="J357" s="15"/>
      <c r="V357" s="15"/>
      <c r="W357" s="15"/>
    </row>
    <row r="358">
      <c r="J358" s="15"/>
      <c r="V358" s="15"/>
      <c r="W358" s="15"/>
    </row>
    <row r="359">
      <c r="J359" s="15"/>
      <c r="V359" s="15"/>
      <c r="W359" s="15"/>
    </row>
    <row r="360">
      <c r="J360" s="15"/>
      <c r="V360" s="15"/>
      <c r="W360" s="15"/>
    </row>
    <row r="361">
      <c r="J361" s="15"/>
      <c r="V361" s="15"/>
      <c r="W361" s="15"/>
    </row>
    <row r="362">
      <c r="J362" s="15"/>
      <c r="V362" s="15"/>
      <c r="W362" s="15"/>
    </row>
    <row r="363">
      <c r="J363" s="15"/>
      <c r="V363" s="15"/>
      <c r="W363" s="15"/>
    </row>
    <row r="364">
      <c r="J364" s="15"/>
      <c r="V364" s="15"/>
      <c r="W364" s="15"/>
    </row>
    <row r="365">
      <c r="J365" s="15"/>
      <c r="V365" s="15"/>
      <c r="W365" s="15"/>
    </row>
    <row r="366">
      <c r="J366" s="15"/>
      <c r="V366" s="15"/>
      <c r="W366" s="15"/>
    </row>
    <row r="367">
      <c r="J367" s="15"/>
      <c r="V367" s="15"/>
      <c r="W367" s="15"/>
    </row>
    <row r="368">
      <c r="J368" s="15"/>
      <c r="V368" s="15"/>
      <c r="W368" s="15"/>
    </row>
    <row r="369">
      <c r="J369" s="15"/>
      <c r="V369" s="15"/>
      <c r="W369" s="15"/>
    </row>
    <row r="370">
      <c r="J370" s="15"/>
      <c r="V370" s="15"/>
      <c r="W370" s="15"/>
    </row>
    <row r="371">
      <c r="J371" s="15"/>
      <c r="V371" s="15"/>
      <c r="W371" s="15"/>
    </row>
    <row r="372">
      <c r="J372" s="15"/>
      <c r="V372" s="15"/>
      <c r="W372" s="15"/>
    </row>
    <row r="373">
      <c r="J373" s="15"/>
      <c r="V373" s="15"/>
      <c r="W373" s="15"/>
    </row>
    <row r="374">
      <c r="J374" s="15"/>
      <c r="V374" s="15"/>
      <c r="W374" s="15"/>
    </row>
    <row r="375">
      <c r="J375" s="15"/>
      <c r="V375" s="15"/>
      <c r="W375" s="15"/>
    </row>
    <row r="376">
      <c r="J376" s="15"/>
      <c r="V376" s="15"/>
      <c r="W376" s="15"/>
    </row>
    <row r="377">
      <c r="J377" s="15"/>
      <c r="V377" s="15"/>
      <c r="W377" s="15"/>
    </row>
    <row r="378">
      <c r="J378" s="15"/>
      <c r="V378" s="15"/>
      <c r="W378" s="15"/>
    </row>
    <row r="379">
      <c r="J379" s="15"/>
      <c r="V379" s="15"/>
      <c r="W379" s="15"/>
    </row>
    <row r="380">
      <c r="J380" s="15"/>
      <c r="V380" s="15"/>
      <c r="W380" s="15"/>
    </row>
    <row r="381">
      <c r="J381" s="15"/>
      <c r="V381" s="15"/>
      <c r="W381" s="15"/>
    </row>
    <row r="382">
      <c r="J382" s="15"/>
      <c r="V382" s="15"/>
      <c r="W382" s="15"/>
    </row>
    <row r="383">
      <c r="J383" s="15"/>
      <c r="V383" s="15"/>
      <c r="W383" s="15"/>
    </row>
    <row r="384">
      <c r="J384" s="15"/>
      <c r="V384" s="15"/>
      <c r="W384" s="15"/>
    </row>
    <row r="385">
      <c r="J385" s="15"/>
      <c r="V385" s="15"/>
      <c r="W385" s="15"/>
    </row>
    <row r="386">
      <c r="J386" s="15"/>
      <c r="V386" s="15"/>
      <c r="W386" s="15"/>
    </row>
    <row r="387">
      <c r="J387" s="15"/>
      <c r="V387" s="15"/>
      <c r="W387" s="15"/>
    </row>
    <row r="388">
      <c r="J388" s="15"/>
      <c r="V388" s="15"/>
      <c r="W388" s="15"/>
    </row>
    <row r="389">
      <c r="J389" s="15"/>
      <c r="V389" s="15"/>
      <c r="W389" s="15"/>
    </row>
    <row r="390">
      <c r="J390" s="15"/>
      <c r="V390" s="15"/>
      <c r="W390" s="15"/>
    </row>
    <row r="391">
      <c r="J391" s="15"/>
      <c r="V391" s="15"/>
      <c r="W391" s="15"/>
    </row>
    <row r="392">
      <c r="J392" s="15"/>
      <c r="V392" s="15"/>
      <c r="W392" s="15"/>
    </row>
    <row r="393">
      <c r="J393" s="15"/>
      <c r="V393" s="15"/>
      <c r="W393" s="15"/>
    </row>
    <row r="394">
      <c r="J394" s="15"/>
      <c r="V394" s="15"/>
      <c r="W394" s="15"/>
    </row>
    <row r="395">
      <c r="J395" s="15"/>
      <c r="V395" s="15"/>
      <c r="W395" s="15"/>
    </row>
    <row r="396">
      <c r="J396" s="15"/>
      <c r="V396" s="15"/>
      <c r="W396" s="15"/>
    </row>
    <row r="397">
      <c r="J397" s="15"/>
      <c r="V397" s="15"/>
      <c r="W397" s="15"/>
    </row>
    <row r="398">
      <c r="J398" s="15"/>
      <c r="V398" s="15"/>
      <c r="W398" s="15"/>
    </row>
    <row r="399">
      <c r="J399" s="15"/>
      <c r="V399" s="15"/>
      <c r="W399" s="15"/>
    </row>
    <row r="400">
      <c r="J400" s="15"/>
      <c r="V400" s="15"/>
      <c r="W400" s="15"/>
    </row>
    <row r="401">
      <c r="J401" s="15"/>
      <c r="V401" s="15"/>
      <c r="W401" s="15"/>
    </row>
    <row r="402">
      <c r="J402" s="15"/>
      <c r="V402" s="15"/>
      <c r="W402" s="15"/>
    </row>
    <row r="403">
      <c r="J403" s="15"/>
      <c r="V403" s="15"/>
      <c r="W403" s="15"/>
    </row>
    <row r="404">
      <c r="J404" s="15"/>
      <c r="V404" s="15"/>
      <c r="W404" s="15"/>
    </row>
    <row r="405">
      <c r="J405" s="15"/>
      <c r="V405" s="15"/>
      <c r="W405" s="15"/>
    </row>
    <row r="406">
      <c r="J406" s="15"/>
      <c r="V406" s="15"/>
      <c r="W406" s="15"/>
    </row>
    <row r="407">
      <c r="J407" s="15"/>
      <c r="V407" s="15"/>
      <c r="W407" s="15"/>
    </row>
    <row r="408">
      <c r="J408" s="15"/>
      <c r="V408" s="15"/>
      <c r="W408" s="15"/>
    </row>
    <row r="409">
      <c r="J409" s="15"/>
      <c r="V409" s="15"/>
      <c r="W409" s="15"/>
    </row>
    <row r="410">
      <c r="J410" s="15"/>
      <c r="V410" s="15"/>
      <c r="W410" s="15"/>
    </row>
    <row r="411">
      <c r="J411" s="15"/>
      <c r="V411" s="15"/>
      <c r="W411" s="15"/>
    </row>
    <row r="412">
      <c r="J412" s="15"/>
      <c r="V412" s="15"/>
      <c r="W412" s="15"/>
    </row>
    <row r="413">
      <c r="J413" s="15"/>
      <c r="V413" s="15"/>
      <c r="W413" s="15"/>
    </row>
    <row r="414">
      <c r="J414" s="15"/>
      <c r="V414" s="15"/>
      <c r="W414" s="15"/>
    </row>
    <row r="415">
      <c r="J415" s="15"/>
      <c r="V415" s="15"/>
      <c r="W415" s="15"/>
    </row>
    <row r="416">
      <c r="J416" s="15"/>
      <c r="V416" s="15"/>
      <c r="W416" s="15"/>
    </row>
    <row r="417">
      <c r="J417" s="15"/>
      <c r="V417" s="15"/>
      <c r="W417" s="15"/>
    </row>
    <row r="418">
      <c r="J418" s="15"/>
      <c r="V418" s="15"/>
      <c r="W418" s="15"/>
    </row>
    <row r="419">
      <c r="J419" s="15"/>
      <c r="V419" s="15"/>
      <c r="W419" s="15"/>
    </row>
    <row r="420">
      <c r="J420" s="15"/>
      <c r="V420" s="15"/>
      <c r="W420" s="15"/>
    </row>
    <row r="421">
      <c r="J421" s="15"/>
      <c r="V421" s="15"/>
      <c r="W421" s="15"/>
    </row>
    <row r="422">
      <c r="J422" s="15"/>
      <c r="V422" s="15"/>
      <c r="W422" s="15"/>
    </row>
    <row r="423">
      <c r="J423" s="15"/>
      <c r="V423" s="15"/>
      <c r="W423" s="15"/>
    </row>
    <row r="424">
      <c r="J424" s="15"/>
      <c r="V424" s="15"/>
      <c r="W424" s="15"/>
    </row>
    <row r="425">
      <c r="J425" s="15"/>
      <c r="V425" s="15"/>
      <c r="W425" s="15"/>
    </row>
    <row r="426">
      <c r="J426" s="15"/>
      <c r="V426" s="15"/>
      <c r="W426" s="15"/>
    </row>
    <row r="427">
      <c r="J427" s="15"/>
      <c r="V427" s="15"/>
      <c r="W427" s="15"/>
    </row>
    <row r="428">
      <c r="J428" s="15"/>
      <c r="V428" s="15"/>
      <c r="W428" s="15"/>
    </row>
    <row r="429">
      <c r="J429" s="15"/>
      <c r="V429" s="15"/>
      <c r="W429" s="15"/>
    </row>
    <row r="430">
      <c r="J430" s="15"/>
      <c r="V430" s="15"/>
      <c r="W430" s="15"/>
    </row>
    <row r="431">
      <c r="J431" s="15"/>
      <c r="V431" s="15"/>
      <c r="W431" s="15"/>
    </row>
    <row r="432">
      <c r="J432" s="15"/>
      <c r="V432" s="15"/>
      <c r="W432" s="15"/>
    </row>
    <row r="433">
      <c r="J433" s="15"/>
      <c r="V433" s="15"/>
      <c r="W433" s="15"/>
    </row>
    <row r="434">
      <c r="J434" s="15"/>
      <c r="V434" s="15"/>
      <c r="W434" s="15"/>
    </row>
    <row r="435">
      <c r="J435" s="15"/>
      <c r="V435" s="15"/>
      <c r="W435" s="15"/>
    </row>
    <row r="436">
      <c r="J436" s="15"/>
      <c r="V436" s="15"/>
      <c r="W436" s="15"/>
    </row>
    <row r="437">
      <c r="J437" s="15"/>
      <c r="V437" s="15"/>
      <c r="W437" s="15"/>
    </row>
    <row r="438">
      <c r="J438" s="15"/>
      <c r="V438" s="15"/>
      <c r="W438" s="15"/>
    </row>
    <row r="439">
      <c r="J439" s="15"/>
      <c r="V439" s="15"/>
      <c r="W439" s="15"/>
    </row>
    <row r="440">
      <c r="J440" s="15"/>
      <c r="V440" s="15"/>
      <c r="W440" s="15"/>
    </row>
    <row r="441">
      <c r="J441" s="15"/>
      <c r="V441" s="15"/>
      <c r="W441" s="15"/>
    </row>
    <row r="442">
      <c r="J442" s="15"/>
      <c r="V442" s="15"/>
      <c r="W442" s="15"/>
    </row>
    <row r="443">
      <c r="J443" s="15"/>
      <c r="V443" s="15"/>
      <c r="W443" s="15"/>
    </row>
    <row r="444">
      <c r="J444" s="15"/>
      <c r="V444" s="15"/>
      <c r="W444" s="15"/>
    </row>
    <row r="445">
      <c r="J445" s="15"/>
      <c r="V445" s="15"/>
      <c r="W445" s="15"/>
    </row>
    <row r="446">
      <c r="J446" s="15"/>
      <c r="V446" s="15"/>
      <c r="W446" s="15"/>
    </row>
    <row r="447">
      <c r="J447" s="15"/>
      <c r="V447" s="15"/>
      <c r="W447" s="15"/>
    </row>
    <row r="448">
      <c r="J448" s="15"/>
      <c r="V448" s="15"/>
      <c r="W448" s="15"/>
    </row>
    <row r="449">
      <c r="J449" s="15"/>
      <c r="V449" s="15"/>
      <c r="W449" s="15"/>
    </row>
    <row r="450">
      <c r="J450" s="15"/>
      <c r="V450" s="15"/>
      <c r="W450" s="15"/>
    </row>
    <row r="451">
      <c r="J451" s="15"/>
      <c r="V451" s="15"/>
      <c r="W451" s="15"/>
    </row>
    <row r="452">
      <c r="J452" s="15"/>
      <c r="V452" s="15"/>
      <c r="W452" s="15"/>
    </row>
    <row r="453">
      <c r="J453" s="15"/>
      <c r="V453" s="15"/>
      <c r="W453" s="15"/>
    </row>
    <row r="454">
      <c r="J454" s="15"/>
      <c r="V454" s="15"/>
      <c r="W454" s="15"/>
    </row>
    <row r="455">
      <c r="J455" s="15"/>
      <c r="V455" s="15"/>
      <c r="W455" s="15"/>
    </row>
    <row r="456">
      <c r="J456" s="15"/>
      <c r="V456" s="15"/>
      <c r="W456" s="15"/>
    </row>
    <row r="457">
      <c r="J457" s="15"/>
      <c r="V457" s="15"/>
      <c r="W457" s="15"/>
    </row>
    <row r="458">
      <c r="J458" s="15"/>
      <c r="V458" s="15"/>
      <c r="W458" s="15"/>
    </row>
    <row r="459">
      <c r="J459" s="15"/>
      <c r="V459" s="15"/>
      <c r="W459" s="15"/>
    </row>
    <row r="460">
      <c r="J460" s="15"/>
      <c r="V460" s="15"/>
      <c r="W460" s="15"/>
    </row>
    <row r="461">
      <c r="J461" s="15"/>
      <c r="V461" s="15"/>
      <c r="W461" s="15"/>
    </row>
    <row r="462">
      <c r="J462" s="15"/>
      <c r="V462" s="15"/>
      <c r="W462" s="15"/>
    </row>
    <row r="463">
      <c r="J463" s="15"/>
      <c r="V463" s="15"/>
      <c r="W463" s="15"/>
    </row>
    <row r="464">
      <c r="J464" s="15"/>
      <c r="V464" s="15"/>
      <c r="W464" s="15"/>
    </row>
    <row r="465">
      <c r="J465" s="15"/>
      <c r="V465" s="15"/>
      <c r="W465" s="15"/>
    </row>
    <row r="466">
      <c r="J466" s="15"/>
      <c r="V466" s="15"/>
      <c r="W466" s="15"/>
    </row>
    <row r="467">
      <c r="J467" s="15"/>
      <c r="V467" s="15"/>
      <c r="W467" s="15"/>
    </row>
    <row r="468">
      <c r="J468" s="15"/>
      <c r="V468" s="15"/>
      <c r="W468" s="15"/>
    </row>
    <row r="469">
      <c r="J469" s="15"/>
      <c r="V469" s="15"/>
      <c r="W469" s="15"/>
    </row>
    <row r="470">
      <c r="J470" s="15"/>
      <c r="V470" s="15"/>
      <c r="W470" s="15"/>
    </row>
    <row r="471">
      <c r="J471" s="15"/>
      <c r="V471" s="15"/>
      <c r="W471" s="15"/>
    </row>
    <row r="472">
      <c r="J472" s="15"/>
      <c r="V472" s="15"/>
      <c r="W472" s="15"/>
    </row>
    <row r="473">
      <c r="J473" s="15"/>
      <c r="V473" s="15"/>
      <c r="W473" s="15"/>
    </row>
    <row r="474">
      <c r="J474" s="15"/>
      <c r="V474" s="15"/>
      <c r="W474" s="15"/>
    </row>
    <row r="475">
      <c r="J475" s="15"/>
      <c r="V475" s="15"/>
      <c r="W475" s="15"/>
    </row>
    <row r="476">
      <c r="J476" s="15"/>
      <c r="V476" s="15"/>
      <c r="W476" s="15"/>
    </row>
    <row r="477">
      <c r="J477" s="15"/>
      <c r="V477" s="15"/>
      <c r="W477" s="15"/>
    </row>
    <row r="478">
      <c r="J478" s="15"/>
      <c r="V478" s="15"/>
      <c r="W478" s="15"/>
    </row>
    <row r="479">
      <c r="J479" s="15"/>
      <c r="V479" s="15"/>
      <c r="W479" s="15"/>
    </row>
    <row r="480">
      <c r="J480" s="15"/>
      <c r="V480" s="15"/>
      <c r="W480" s="15"/>
    </row>
    <row r="481">
      <c r="J481" s="15"/>
      <c r="V481" s="15"/>
      <c r="W481" s="15"/>
    </row>
    <row r="482">
      <c r="J482" s="15"/>
      <c r="V482" s="15"/>
      <c r="W482" s="15"/>
    </row>
    <row r="483">
      <c r="J483" s="15"/>
      <c r="V483" s="15"/>
      <c r="W483" s="15"/>
    </row>
    <row r="484">
      <c r="J484" s="15"/>
      <c r="V484" s="15"/>
      <c r="W484" s="15"/>
    </row>
    <row r="485">
      <c r="J485" s="15"/>
      <c r="V485" s="15"/>
      <c r="W485" s="15"/>
    </row>
    <row r="486">
      <c r="J486" s="15"/>
      <c r="V486" s="15"/>
      <c r="W486" s="15"/>
    </row>
    <row r="487">
      <c r="J487" s="15"/>
      <c r="V487" s="15"/>
      <c r="W487" s="15"/>
    </row>
    <row r="488">
      <c r="J488" s="15"/>
      <c r="V488" s="15"/>
      <c r="W488" s="15"/>
    </row>
    <row r="489">
      <c r="J489" s="15"/>
      <c r="V489" s="15"/>
      <c r="W489" s="15"/>
    </row>
    <row r="490">
      <c r="J490" s="15"/>
      <c r="V490" s="15"/>
      <c r="W490" s="15"/>
    </row>
    <row r="491">
      <c r="J491" s="15"/>
      <c r="V491" s="15"/>
      <c r="W491" s="15"/>
    </row>
    <row r="492">
      <c r="J492" s="15"/>
      <c r="V492" s="15"/>
      <c r="W492" s="15"/>
    </row>
    <row r="493">
      <c r="J493" s="15"/>
      <c r="V493" s="15"/>
      <c r="W493" s="15"/>
    </row>
    <row r="494">
      <c r="J494" s="15"/>
      <c r="V494" s="15"/>
      <c r="W494" s="15"/>
    </row>
    <row r="495">
      <c r="J495" s="15"/>
      <c r="V495" s="15"/>
      <c r="W495" s="15"/>
    </row>
    <row r="496">
      <c r="J496" s="15"/>
      <c r="V496" s="15"/>
      <c r="W496" s="15"/>
    </row>
    <row r="497">
      <c r="J497" s="15"/>
      <c r="V497" s="15"/>
      <c r="W497" s="15"/>
    </row>
    <row r="498">
      <c r="J498" s="15"/>
      <c r="V498" s="15"/>
      <c r="W498" s="15"/>
    </row>
    <row r="499">
      <c r="J499" s="15"/>
      <c r="V499" s="15"/>
      <c r="W499" s="15"/>
    </row>
    <row r="500">
      <c r="J500" s="15"/>
      <c r="V500" s="15"/>
      <c r="W500" s="15"/>
    </row>
    <row r="501">
      <c r="J501" s="15"/>
      <c r="V501" s="15"/>
      <c r="W501" s="15"/>
    </row>
    <row r="502">
      <c r="J502" s="15"/>
      <c r="V502" s="15"/>
      <c r="W502" s="15"/>
    </row>
    <row r="503">
      <c r="J503" s="15"/>
      <c r="V503" s="15"/>
      <c r="W503" s="15"/>
    </row>
    <row r="504">
      <c r="J504" s="15"/>
      <c r="V504" s="15"/>
      <c r="W504" s="15"/>
    </row>
    <row r="505">
      <c r="J505" s="15"/>
      <c r="V505" s="15"/>
      <c r="W505" s="15"/>
    </row>
    <row r="506">
      <c r="J506" s="15"/>
      <c r="V506" s="15"/>
      <c r="W506" s="15"/>
    </row>
    <row r="507">
      <c r="J507" s="15"/>
      <c r="V507" s="15"/>
      <c r="W507" s="15"/>
    </row>
    <row r="508">
      <c r="J508" s="15"/>
      <c r="V508" s="15"/>
      <c r="W508" s="15"/>
    </row>
    <row r="509">
      <c r="J509" s="15"/>
      <c r="V509" s="15"/>
      <c r="W509" s="15"/>
    </row>
    <row r="510">
      <c r="J510" s="15"/>
      <c r="V510" s="15"/>
      <c r="W510" s="15"/>
    </row>
    <row r="511">
      <c r="J511" s="15"/>
      <c r="V511" s="15"/>
      <c r="W511" s="15"/>
    </row>
    <row r="512">
      <c r="J512" s="15"/>
      <c r="V512" s="15"/>
      <c r="W512" s="15"/>
    </row>
    <row r="513">
      <c r="J513" s="15"/>
      <c r="V513" s="15"/>
      <c r="W513" s="15"/>
    </row>
    <row r="514">
      <c r="J514" s="15"/>
      <c r="V514" s="15"/>
      <c r="W514" s="15"/>
    </row>
    <row r="515">
      <c r="J515" s="15"/>
      <c r="V515" s="15"/>
      <c r="W515" s="15"/>
    </row>
    <row r="516">
      <c r="J516" s="15"/>
      <c r="V516" s="15"/>
      <c r="W516" s="15"/>
    </row>
    <row r="517">
      <c r="J517" s="15"/>
      <c r="V517" s="15"/>
      <c r="W517" s="15"/>
    </row>
    <row r="518">
      <c r="J518" s="15"/>
      <c r="V518" s="15"/>
      <c r="W518" s="15"/>
    </row>
    <row r="519">
      <c r="J519" s="15"/>
      <c r="V519" s="15"/>
      <c r="W519" s="15"/>
    </row>
    <row r="520">
      <c r="J520" s="15"/>
      <c r="V520" s="15"/>
      <c r="W520" s="15"/>
    </row>
    <row r="521">
      <c r="J521" s="15"/>
      <c r="V521" s="15"/>
      <c r="W521" s="15"/>
    </row>
    <row r="522">
      <c r="J522" s="15"/>
      <c r="V522" s="15"/>
      <c r="W522" s="15"/>
    </row>
    <row r="523">
      <c r="J523" s="15"/>
      <c r="V523" s="15"/>
      <c r="W523" s="15"/>
    </row>
    <row r="524">
      <c r="J524" s="15"/>
      <c r="V524" s="15"/>
      <c r="W524" s="15"/>
    </row>
    <row r="525">
      <c r="J525" s="15"/>
      <c r="V525" s="15"/>
      <c r="W525" s="15"/>
    </row>
    <row r="526">
      <c r="J526" s="15"/>
      <c r="V526" s="15"/>
      <c r="W526" s="15"/>
    </row>
    <row r="527">
      <c r="J527" s="15"/>
      <c r="V527" s="15"/>
      <c r="W527" s="15"/>
    </row>
    <row r="528">
      <c r="J528" s="15"/>
      <c r="V528" s="15"/>
      <c r="W528" s="15"/>
    </row>
    <row r="529">
      <c r="J529" s="15"/>
      <c r="V529" s="15"/>
      <c r="W529" s="15"/>
    </row>
    <row r="530">
      <c r="J530" s="15"/>
      <c r="V530" s="15"/>
      <c r="W530" s="15"/>
    </row>
    <row r="531">
      <c r="J531" s="15"/>
      <c r="V531" s="15"/>
      <c r="W531" s="15"/>
    </row>
    <row r="532">
      <c r="J532" s="15"/>
      <c r="V532" s="15"/>
      <c r="W532" s="15"/>
    </row>
    <row r="533">
      <c r="J533" s="15"/>
      <c r="V533" s="15"/>
      <c r="W533" s="15"/>
    </row>
    <row r="534">
      <c r="J534" s="15"/>
      <c r="V534" s="15"/>
      <c r="W534" s="15"/>
    </row>
    <row r="535">
      <c r="J535" s="15"/>
      <c r="V535" s="15"/>
      <c r="W535" s="15"/>
    </row>
    <row r="536">
      <c r="J536" s="15"/>
      <c r="V536" s="15"/>
      <c r="W536" s="15"/>
    </row>
    <row r="537">
      <c r="J537" s="15"/>
      <c r="V537" s="15"/>
      <c r="W537" s="15"/>
    </row>
    <row r="538">
      <c r="J538" s="15"/>
      <c r="V538" s="15"/>
      <c r="W538" s="15"/>
    </row>
    <row r="539">
      <c r="J539" s="15"/>
      <c r="V539" s="15"/>
      <c r="W539" s="15"/>
    </row>
    <row r="540">
      <c r="J540" s="15"/>
      <c r="V540" s="15"/>
      <c r="W540" s="15"/>
    </row>
    <row r="541">
      <c r="J541" s="15"/>
      <c r="V541" s="15"/>
      <c r="W541" s="15"/>
    </row>
    <row r="542">
      <c r="J542" s="15"/>
      <c r="V542" s="15"/>
      <c r="W542" s="15"/>
    </row>
    <row r="543">
      <c r="J543" s="15"/>
      <c r="V543" s="15"/>
      <c r="W543" s="15"/>
    </row>
    <row r="544">
      <c r="J544" s="15"/>
      <c r="V544" s="15"/>
      <c r="W544" s="15"/>
    </row>
    <row r="545">
      <c r="J545" s="15"/>
      <c r="V545" s="15"/>
      <c r="W545" s="15"/>
    </row>
    <row r="546">
      <c r="J546" s="15"/>
      <c r="V546" s="15"/>
      <c r="W546" s="15"/>
    </row>
    <row r="547">
      <c r="J547" s="15"/>
      <c r="V547" s="15"/>
      <c r="W547" s="15"/>
    </row>
    <row r="548">
      <c r="J548" s="15"/>
      <c r="V548" s="15"/>
      <c r="W548" s="15"/>
    </row>
    <row r="549">
      <c r="J549" s="15"/>
      <c r="V549" s="15"/>
      <c r="W549" s="15"/>
    </row>
    <row r="550">
      <c r="J550" s="15"/>
      <c r="V550" s="15"/>
      <c r="W550" s="15"/>
    </row>
    <row r="551">
      <c r="J551" s="15"/>
      <c r="V551" s="15"/>
      <c r="W551" s="15"/>
    </row>
    <row r="552">
      <c r="J552" s="15"/>
      <c r="V552" s="15"/>
      <c r="W552" s="15"/>
    </row>
    <row r="553">
      <c r="J553" s="15"/>
      <c r="V553" s="15"/>
      <c r="W553" s="15"/>
    </row>
    <row r="554">
      <c r="J554" s="15"/>
      <c r="V554" s="15"/>
      <c r="W554" s="15"/>
    </row>
    <row r="555">
      <c r="J555" s="15"/>
      <c r="V555" s="15"/>
      <c r="W555" s="15"/>
    </row>
    <row r="556">
      <c r="J556" s="15"/>
      <c r="V556" s="15"/>
      <c r="W556" s="15"/>
    </row>
    <row r="557">
      <c r="J557" s="15"/>
      <c r="V557" s="15"/>
      <c r="W557" s="15"/>
    </row>
    <row r="558">
      <c r="J558" s="15"/>
      <c r="V558" s="15"/>
      <c r="W558" s="15"/>
    </row>
    <row r="559">
      <c r="J559" s="15"/>
      <c r="V559" s="15"/>
      <c r="W559" s="15"/>
    </row>
    <row r="560">
      <c r="J560" s="15"/>
      <c r="V560" s="15"/>
      <c r="W560" s="15"/>
    </row>
    <row r="561">
      <c r="J561" s="15"/>
      <c r="V561" s="15"/>
      <c r="W561" s="15"/>
    </row>
    <row r="562">
      <c r="J562" s="15"/>
      <c r="V562" s="15"/>
      <c r="W562" s="15"/>
    </row>
    <row r="563">
      <c r="J563" s="15"/>
      <c r="V563" s="15"/>
      <c r="W563" s="15"/>
    </row>
    <row r="564">
      <c r="J564" s="15"/>
      <c r="V564" s="15"/>
      <c r="W564" s="15"/>
    </row>
    <row r="565">
      <c r="J565" s="15"/>
      <c r="V565" s="15"/>
      <c r="W565" s="15"/>
    </row>
    <row r="566">
      <c r="J566" s="15"/>
      <c r="V566" s="15"/>
      <c r="W566" s="15"/>
    </row>
    <row r="567">
      <c r="J567" s="15"/>
      <c r="V567" s="15"/>
      <c r="W567" s="15"/>
    </row>
    <row r="568">
      <c r="J568" s="15"/>
      <c r="V568" s="15"/>
      <c r="W568" s="15"/>
    </row>
    <row r="569">
      <c r="J569" s="15"/>
      <c r="V569" s="15"/>
      <c r="W569" s="15"/>
    </row>
    <row r="570">
      <c r="J570" s="15"/>
      <c r="V570" s="15"/>
      <c r="W570" s="15"/>
    </row>
    <row r="571">
      <c r="J571" s="15"/>
      <c r="V571" s="15"/>
      <c r="W571" s="15"/>
    </row>
    <row r="572">
      <c r="J572" s="15"/>
      <c r="V572" s="15"/>
      <c r="W572" s="15"/>
    </row>
    <row r="573">
      <c r="J573" s="15"/>
      <c r="V573" s="15"/>
      <c r="W573" s="15"/>
    </row>
    <row r="574">
      <c r="J574" s="15"/>
      <c r="V574" s="15"/>
      <c r="W574" s="15"/>
    </row>
    <row r="575">
      <c r="J575" s="15"/>
      <c r="V575" s="15"/>
      <c r="W575" s="15"/>
    </row>
    <row r="576">
      <c r="J576" s="15"/>
      <c r="V576" s="15"/>
      <c r="W576" s="15"/>
    </row>
    <row r="577">
      <c r="J577" s="15"/>
      <c r="V577" s="15"/>
      <c r="W577" s="15"/>
    </row>
    <row r="578">
      <c r="J578" s="15"/>
      <c r="V578" s="15"/>
      <c r="W578" s="15"/>
    </row>
    <row r="579">
      <c r="J579" s="15"/>
      <c r="V579" s="15"/>
      <c r="W579" s="15"/>
    </row>
    <row r="580">
      <c r="J580" s="15"/>
      <c r="V580" s="15"/>
      <c r="W580" s="15"/>
    </row>
    <row r="581">
      <c r="J581" s="15"/>
      <c r="V581" s="15"/>
      <c r="W581" s="15"/>
    </row>
    <row r="582">
      <c r="J582" s="15"/>
      <c r="V582" s="15"/>
      <c r="W582" s="15"/>
    </row>
    <row r="583">
      <c r="J583" s="15"/>
      <c r="V583" s="15"/>
      <c r="W583" s="15"/>
    </row>
    <row r="584">
      <c r="J584" s="15"/>
      <c r="V584" s="15"/>
      <c r="W584" s="15"/>
    </row>
    <row r="585">
      <c r="J585" s="15"/>
      <c r="V585" s="15"/>
      <c r="W585" s="15"/>
    </row>
    <row r="586">
      <c r="J586" s="15"/>
      <c r="V586" s="15"/>
      <c r="W586" s="15"/>
    </row>
    <row r="587">
      <c r="J587" s="15"/>
      <c r="V587" s="15"/>
      <c r="W587" s="15"/>
    </row>
    <row r="588">
      <c r="J588" s="15"/>
      <c r="V588" s="15"/>
      <c r="W588" s="15"/>
    </row>
    <row r="589">
      <c r="J589" s="15"/>
      <c r="V589" s="15"/>
      <c r="W589" s="15"/>
    </row>
    <row r="590">
      <c r="J590" s="15"/>
      <c r="V590" s="15"/>
      <c r="W590" s="15"/>
    </row>
    <row r="591">
      <c r="J591" s="15"/>
      <c r="V591" s="15"/>
      <c r="W591" s="15"/>
    </row>
    <row r="592">
      <c r="J592" s="15"/>
      <c r="V592" s="15"/>
      <c r="W592" s="15"/>
    </row>
    <row r="593">
      <c r="J593" s="15"/>
      <c r="V593" s="15"/>
      <c r="W593" s="15"/>
    </row>
    <row r="594">
      <c r="J594" s="15"/>
      <c r="V594" s="15"/>
      <c r="W594" s="15"/>
    </row>
    <row r="595">
      <c r="J595" s="15"/>
      <c r="V595" s="15"/>
      <c r="W595" s="15"/>
    </row>
    <row r="596">
      <c r="J596" s="15"/>
      <c r="V596" s="15"/>
      <c r="W596" s="15"/>
    </row>
    <row r="597">
      <c r="J597" s="15"/>
      <c r="V597" s="15"/>
      <c r="W597" s="15"/>
    </row>
    <row r="598">
      <c r="J598" s="15"/>
      <c r="V598" s="15"/>
      <c r="W598" s="15"/>
    </row>
    <row r="599">
      <c r="J599" s="15"/>
      <c r="V599" s="15"/>
      <c r="W599" s="15"/>
    </row>
    <row r="600">
      <c r="J600" s="15"/>
      <c r="V600" s="15"/>
      <c r="W600" s="15"/>
    </row>
    <row r="601">
      <c r="J601" s="15"/>
      <c r="V601" s="15"/>
      <c r="W601" s="15"/>
    </row>
    <row r="602">
      <c r="J602" s="15"/>
      <c r="V602" s="15"/>
      <c r="W602" s="15"/>
    </row>
    <row r="603">
      <c r="J603" s="15"/>
      <c r="V603" s="15"/>
      <c r="W603" s="15"/>
    </row>
    <row r="604">
      <c r="J604" s="15"/>
      <c r="V604" s="15"/>
      <c r="W604" s="15"/>
    </row>
    <row r="605">
      <c r="J605" s="15"/>
      <c r="V605" s="15"/>
      <c r="W605" s="15"/>
    </row>
    <row r="606">
      <c r="J606" s="15"/>
      <c r="V606" s="15"/>
      <c r="W606" s="15"/>
    </row>
    <row r="607">
      <c r="J607" s="15"/>
      <c r="V607" s="15"/>
      <c r="W607" s="15"/>
    </row>
    <row r="608">
      <c r="J608" s="15"/>
      <c r="V608" s="15"/>
      <c r="W608" s="15"/>
    </row>
    <row r="609">
      <c r="J609" s="15"/>
      <c r="V609" s="15"/>
      <c r="W609" s="15"/>
    </row>
    <row r="610">
      <c r="J610" s="15"/>
      <c r="V610" s="15"/>
      <c r="W610" s="15"/>
    </row>
    <row r="611">
      <c r="J611" s="15"/>
      <c r="V611" s="15"/>
      <c r="W611" s="15"/>
    </row>
    <row r="612">
      <c r="J612" s="15"/>
      <c r="V612" s="15"/>
      <c r="W612" s="15"/>
    </row>
    <row r="613">
      <c r="J613" s="15"/>
      <c r="V613" s="15"/>
      <c r="W613" s="15"/>
    </row>
    <row r="614">
      <c r="J614" s="15"/>
      <c r="V614" s="15"/>
      <c r="W614" s="15"/>
    </row>
    <row r="615">
      <c r="J615" s="15"/>
      <c r="V615" s="15"/>
      <c r="W615" s="15"/>
    </row>
    <row r="616">
      <c r="J616" s="15"/>
      <c r="V616" s="15"/>
      <c r="W616" s="15"/>
    </row>
    <row r="617">
      <c r="J617" s="15"/>
      <c r="V617" s="15"/>
      <c r="W617" s="15"/>
    </row>
    <row r="618">
      <c r="J618" s="15"/>
      <c r="V618" s="15"/>
      <c r="W618" s="15"/>
    </row>
    <row r="619">
      <c r="J619" s="15"/>
      <c r="V619" s="15"/>
      <c r="W619" s="15"/>
    </row>
    <row r="620">
      <c r="J620" s="15"/>
      <c r="V620" s="15"/>
      <c r="W620" s="15"/>
    </row>
    <row r="621">
      <c r="J621" s="15"/>
      <c r="V621" s="15"/>
      <c r="W621" s="15"/>
    </row>
    <row r="622">
      <c r="J622" s="15"/>
      <c r="V622" s="15"/>
      <c r="W622" s="15"/>
    </row>
    <row r="623">
      <c r="J623" s="15"/>
      <c r="V623" s="15"/>
      <c r="W623" s="15"/>
    </row>
    <row r="624">
      <c r="J624" s="15"/>
      <c r="V624" s="15"/>
      <c r="W624" s="15"/>
    </row>
    <row r="625">
      <c r="J625" s="15"/>
      <c r="V625" s="15"/>
      <c r="W625" s="15"/>
    </row>
    <row r="626">
      <c r="J626" s="15"/>
      <c r="V626" s="15"/>
      <c r="W626" s="15"/>
    </row>
    <row r="627">
      <c r="J627" s="15"/>
      <c r="V627" s="15"/>
      <c r="W627" s="15"/>
    </row>
    <row r="628">
      <c r="J628" s="15"/>
      <c r="V628" s="15"/>
      <c r="W628" s="15"/>
    </row>
    <row r="629">
      <c r="J629" s="15"/>
      <c r="V629" s="15"/>
      <c r="W629" s="15"/>
    </row>
    <row r="630">
      <c r="J630" s="15"/>
      <c r="V630" s="15"/>
      <c r="W630" s="15"/>
    </row>
    <row r="631">
      <c r="J631" s="15"/>
      <c r="V631" s="15"/>
      <c r="W631" s="15"/>
    </row>
    <row r="632">
      <c r="J632" s="15"/>
      <c r="V632" s="15"/>
      <c r="W632" s="15"/>
    </row>
    <row r="633">
      <c r="J633" s="15"/>
      <c r="V633" s="15"/>
      <c r="W633" s="15"/>
    </row>
    <row r="634">
      <c r="J634" s="15"/>
      <c r="V634" s="15"/>
      <c r="W634" s="15"/>
    </row>
    <row r="635">
      <c r="J635" s="15"/>
      <c r="V635" s="15"/>
      <c r="W635" s="15"/>
    </row>
    <row r="636">
      <c r="J636" s="15"/>
      <c r="V636" s="15"/>
      <c r="W636" s="15"/>
    </row>
    <row r="637">
      <c r="J637" s="15"/>
      <c r="V637" s="15"/>
      <c r="W637" s="15"/>
    </row>
    <row r="638">
      <c r="J638" s="15"/>
      <c r="V638" s="15"/>
      <c r="W638" s="15"/>
    </row>
    <row r="639">
      <c r="J639" s="15"/>
      <c r="V639" s="15"/>
      <c r="W639" s="15"/>
    </row>
    <row r="640">
      <c r="J640" s="15"/>
      <c r="V640" s="15"/>
      <c r="W640" s="15"/>
    </row>
    <row r="641">
      <c r="J641" s="15"/>
      <c r="V641" s="15"/>
      <c r="W641" s="15"/>
    </row>
    <row r="642">
      <c r="J642" s="15"/>
      <c r="V642" s="15"/>
      <c r="W642" s="15"/>
    </row>
    <row r="643">
      <c r="J643" s="15"/>
      <c r="V643" s="15"/>
      <c r="W643" s="15"/>
    </row>
    <row r="644">
      <c r="J644" s="15"/>
      <c r="V644" s="15"/>
      <c r="W644" s="15"/>
    </row>
    <row r="645">
      <c r="J645" s="15"/>
      <c r="V645" s="15"/>
      <c r="W645" s="15"/>
    </row>
    <row r="646">
      <c r="J646" s="15"/>
      <c r="V646" s="15"/>
      <c r="W646" s="15"/>
    </row>
    <row r="647">
      <c r="J647" s="15"/>
      <c r="V647" s="15"/>
      <c r="W647" s="15"/>
    </row>
    <row r="648">
      <c r="J648" s="15"/>
      <c r="V648" s="15"/>
      <c r="W648" s="15"/>
    </row>
    <row r="649">
      <c r="J649" s="15"/>
      <c r="V649" s="15"/>
      <c r="W649" s="15"/>
    </row>
    <row r="650">
      <c r="J650" s="15"/>
      <c r="V650" s="15"/>
      <c r="W650" s="15"/>
    </row>
    <row r="651">
      <c r="J651" s="15"/>
      <c r="V651" s="15"/>
      <c r="W651" s="15"/>
    </row>
    <row r="652">
      <c r="J652" s="15"/>
      <c r="V652" s="15"/>
      <c r="W652" s="15"/>
    </row>
    <row r="653">
      <c r="J653" s="15"/>
      <c r="V653" s="15"/>
      <c r="W653" s="15"/>
    </row>
    <row r="654">
      <c r="J654" s="15"/>
      <c r="V654" s="15"/>
      <c r="W654" s="15"/>
    </row>
    <row r="655">
      <c r="J655" s="15"/>
      <c r="V655" s="15"/>
      <c r="W655" s="15"/>
    </row>
    <row r="656">
      <c r="J656" s="15"/>
      <c r="V656" s="15"/>
      <c r="W656" s="15"/>
    </row>
    <row r="657">
      <c r="J657" s="15"/>
      <c r="V657" s="15"/>
      <c r="W657" s="15"/>
    </row>
    <row r="658">
      <c r="J658" s="15"/>
      <c r="V658" s="15"/>
      <c r="W658" s="15"/>
    </row>
    <row r="659">
      <c r="J659" s="15"/>
      <c r="V659" s="15"/>
      <c r="W659" s="15"/>
    </row>
    <row r="660">
      <c r="J660" s="15"/>
      <c r="V660" s="15"/>
      <c r="W660" s="15"/>
    </row>
    <row r="661">
      <c r="J661" s="15"/>
      <c r="V661" s="15"/>
      <c r="W661" s="15"/>
    </row>
    <row r="662">
      <c r="J662" s="15"/>
      <c r="V662" s="15"/>
      <c r="W662" s="15"/>
    </row>
    <row r="663">
      <c r="J663" s="15"/>
      <c r="V663" s="15"/>
      <c r="W663" s="15"/>
    </row>
    <row r="664">
      <c r="J664" s="15"/>
      <c r="V664" s="15"/>
      <c r="W664" s="15"/>
    </row>
    <row r="665">
      <c r="J665" s="15"/>
      <c r="V665" s="15"/>
      <c r="W665" s="15"/>
    </row>
    <row r="666">
      <c r="J666" s="15"/>
      <c r="V666" s="15"/>
      <c r="W666" s="15"/>
    </row>
    <row r="667">
      <c r="J667" s="15"/>
      <c r="V667" s="15"/>
      <c r="W667" s="15"/>
    </row>
    <row r="668">
      <c r="J668" s="15"/>
      <c r="V668" s="15"/>
      <c r="W668" s="15"/>
    </row>
    <row r="669">
      <c r="J669" s="15"/>
      <c r="V669" s="15"/>
      <c r="W669" s="15"/>
    </row>
    <row r="670">
      <c r="J670" s="15"/>
      <c r="V670" s="15"/>
      <c r="W670" s="15"/>
    </row>
    <row r="671">
      <c r="J671" s="15"/>
      <c r="V671" s="15"/>
      <c r="W671" s="15"/>
    </row>
    <row r="672">
      <c r="J672" s="15"/>
      <c r="V672" s="15"/>
      <c r="W672" s="15"/>
    </row>
    <row r="673">
      <c r="J673" s="15"/>
      <c r="V673" s="15"/>
      <c r="W673" s="15"/>
    </row>
    <row r="674">
      <c r="J674" s="15"/>
      <c r="V674" s="15"/>
      <c r="W674" s="15"/>
    </row>
    <row r="675">
      <c r="J675" s="15"/>
      <c r="V675" s="15"/>
      <c r="W675" s="15"/>
    </row>
    <row r="676">
      <c r="J676" s="15"/>
      <c r="V676" s="15"/>
      <c r="W676" s="15"/>
    </row>
    <row r="677">
      <c r="J677" s="15"/>
      <c r="V677" s="15"/>
      <c r="W677" s="15"/>
    </row>
    <row r="678">
      <c r="J678" s="15"/>
      <c r="V678" s="15"/>
      <c r="W678" s="15"/>
    </row>
    <row r="679">
      <c r="J679" s="15"/>
      <c r="V679" s="15"/>
      <c r="W679" s="15"/>
    </row>
    <row r="680">
      <c r="J680" s="15"/>
      <c r="V680" s="15"/>
      <c r="W680" s="15"/>
    </row>
    <row r="681">
      <c r="J681" s="15"/>
      <c r="V681" s="15"/>
      <c r="W681" s="15"/>
    </row>
    <row r="682">
      <c r="J682" s="15"/>
      <c r="V682" s="15"/>
      <c r="W682" s="15"/>
    </row>
    <row r="683">
      <c r="J683" s="15"/>
      <c r="V683" s="15"/>
      <c r="W683" s="15"/>
    </row>
    <row r="684">
      <c r="J684" s="15"/>
      <c r="V684" s="15"/>
      <c r="W684" s="15"/>
    </row>
    <row r="685">
      <c r="J685" s="15"/>
      <c r="V685" s="15"/>
      <c r="W685" s="15"/>
    </row>
    <row r="686">
      <c r="J686" s="15"/>
      <c r="V686" s="15"/>
      <c r="W686" s="15"/>
    </row>
    <row r="687">
      <c r="J687" s="15"/>
      <c r="V687" s="15"/>
      <c r="W687" s="15"/>
    </row>
    <row r="688">
      <c r="J688" s="15"/>
      <c r="V688" s="15"/>
      <c r="W688" s="15"/>
    </row>
    <row r="689">
      <c r="J689" s="15"/>
      <c r="V689" s="15"/>
      <c r="W689" s="15"/>
    </row>
    <row r="690">
      <c r="J690" s="15"/>
      <c r="V690" s="15"/>
      <c r="W690" s="15"/>
    </row>
    <row r="691">
      <c r="J691" s="15"/>
      <c r="V691" s="15"/>
      <c r="W691" s="15"/>
    </row>
    <row r="692">
      <c r="J692" s="15"/>
      <c r="V692" s="15"/>
      <c r="W692" s="15"/>
    </row>
    <row r="693">
      <c r="J693" s="15"/>
      <c r="V693" s="15"/>
      <c r="W693" s="15"/>
    </row>
    <row r="694">
      <c r="J694" s="15"/>
      <c r="V694" s="15"/>
      <c r="W694" s="15"/>
    </row>
    <row r="695">
      <c r="J695" s="15"/>
      <c r="V695" s="15"/>
      <c r="W695" s="15"/>
    </row>
    <row r="696">
      <c r="J696" s="15"/>
      <c r="V696" s="15"/>
      <c r="W696" s="15"/>
    </row>
    <row r="697">
      <c r="J697" s="15"/>
      <c r="V697" s="15"/>
      <c r="W697" s="15"/>
    </row>
    <row r="698">
      <c r="J698" s="15"/>
      <c r="V698" s="15"/>
      <c r="W698" s="15"/>
    </row>
    <row r="699">
      <c r="J699" s="15"/>
      <c r="V699" s="15"/>
      <c r="W699" s="15"/>
    </row>
    <row r="700">
      <c r="J700" s="15"/>
      <c r="V700" s="15"/>
      <c r="W700" s="15"/>
    </row>
    <row r="701">
      <c r="J701" s="15"/>
      <c r="V701" s="15"/>
      <c r="W701" s="15"/>
    </row>
    <row r="702">
      <c r="J702" s="15"/>
      <c r="V702" s="15"/>
      <c r="W702" s="15"/>
    </row>
    <row r="703">
      <c r="J703" s="15"/>
      <c r="V703" s="15"/>
      <c r="W703" s="15"/>
    </row>
    <row r="704">
      <c r="J704" s="15"/>
      <c r="V704" s="15"/>
      <c r="W704" s="15"/>
    </row>
    <row r="705">
      <c r="J705" s="15"/>
      <c r="V705" s="15"/>
      <c r="W705" s="15"/>
    </row>
    <row r="706">
      <c r="J706" s="15"/>
      <c r="V706" s="15"/>
      <c r="W706" s="15"/>
    </row>
    <row r="707">
      <c r="J707" s="15"/>
      <c r="V707" s="15"/>
      <c r="W707" s="15"/>
    </row>
    <row r="708">
      <c r="J708" s="15"/>
      <c r="V708" s="15"/>
      <c r="W708" s="15"/>
    </row>
    <row r="709">
      <c r="J709" s="15"/>
      <c r="V709" s="15"/>
      <c r="W709" s="15"/>
    </row>
    <row r="710">
      <c r="J710" s="15"/>
      <c r="V710" s="15"/>
      <c r="W710" s="15"/>
    </row>
    <row r="711">
      <c r="J711" s="15"/>
      <c r="V711" s="15"/>
      <c r="W711" s="15"/>
    </row>
    <row r="712">
      <c r="J712" s="15"/>
      <c r="V712" s="15"/>
      <c r="W712" s="15"/>
    </row>
    <row r="713">
      <c r="J713" s="15"/>
      <c r="V713" s="15"/>
      <c r="W713" s="15"/>
    </row>
    <row r="714">
      <c r="J714" s="15"/>
      <c r="V714" s="15"/>
      <c r="W714" s="15"/>
    </row>
    <row r="715">
      <c r="J715" s="15"/>
      <c r="V715" s="15"/>
      <c r="W715" s="15"/>
    </row>
    <row r="716">
      <c r="J716" s="15"/>
      <c r="V716" s="15"/>
      <c r="W716" s="15"/>
    </row>
    <row r="717">
      <c r="J717" s="15"/>
      <c r="V717" s="15"/>
      <c r="W717" s="15"/>
    </row>
    <row r="718">
      <c r="J718" s="15"/>
      <c r="V718" s="15"/>
      <c r="W718" s="15"/>
    </row>
    <row r="719">
      <c r="J719" s="15"/>
      <c r="V719" s="15"/>
      <c r="W719" s="15"/>
    </row>
    <row r="720">
      <c r="J720" s="15"/>
      <c r="V720" s="15"/>
      <c r="W720" s="15"/>
    </row>
    <row r="721">
      <c r="J721" s="15"/>
      <c r="V721" s="15"/>
      <c r="W721" s="15"/>
    </row>
    <row r="722">
      <c r="J722" s="15"/>
      <c r="V722" s="15"/>
      <c r="W722" s="15"/>
    </row>
    <row r="723">
      <c r="J723" s="15"/>
      <c r="V723" s="15"/>
      <c r="W723" s="15"/>
    </row>
    <row r="724">
      <c r="J724" s="15"/>
      <c r="V724" s="15"/>
      <c r="W724" s="15"/>
    </row>
    <row r="725">
      <c r="J725" s="15"/>
      <c r="V725" s="15"/>
      <c r="W725" s="15"/>
    </row>
    <row r="726">
      <c r="J726" s="15"/>
      <c r="V726" s="15"/>
      <c r="W726" s="15"/>
    </row>
    <row r="727">
      <c r="J727" s="15"/>
      <c r="V727" s="15"/>
      <c r="W727" s="15"/>
    </row>
    <row r="728">
      <c r="J728" s="15"/>
      <c r="V728" s="15"/>
      <c r="W728" s="15"/>
    </row>
    <row r="729">
      <c r="J729" s="15"/>
      <c r="V729" s="15"/>
      <c r="W729" s="15"/>
    </row>
    <row r="730">
      <c r="J730" s="15"/>
      <c r="V730" s="15"/>
      <c r="W730" s="15"/>
    </row>
    <row r="731">
      <c r="J731" s="15"/>
      <c r="V731" s="15"/>
      <c r="W731" s="15"/>
    </row>
    <row r="732">
      <c r="J732" s="15"/>
      <c r="V732" s="15"/>
      <c r="W732" s="15"/>
    </row>
    <row r="733">
      <c r="J733" s="15"/>
      <c r="V733" s="15"/>
      <c r="W733" s="15"/>
    </row>
    <row r="734">
      <c r="J734" s="15"/>
      <c r="V734" s="15"/>
      <c r="W734" s="15"/>
    </row>
    <row r="735">
      <c r="J735" s="15"/>
      <c r="V735" s="15"/>
      <c r="W735" s="15"/>
    </row>
    <row r="736">
      <c r="J736" s="15"/>
      <c r="V736" s="15"/>
      <c r="W736" s="15"/>
    </row>
    <row r="737">
      <c r="J737" s="15"/>
      <c r="V737" s="15"/>
      <c r="W737" s="15"/>
    </row>
    <row r="738">
      <c r="J738" s="15"/>
      <c r="V738" s="15"/>
      <c r="W738" s="15"/>
    </row>
    <row r="739">
      <c r="J739" s="15"/>
      <c r="V739" s="15"/>
      <c r="W739" s="15"/>
    </row>
    <row r="740">
      <c r="J740" s="15"/>
      <c r="V740" s="15"/>
      <c r="W740" s="15"/>
    </row>
    <row r="741">
      <c r="J741" s="15"/>
      <c r="V741" s="15"/>
      <c r="W741" s="15"/>
    </row>
    <row r="742">
      <c r="J742" s="15"/>
      <c r="V742" s="15"/>
      <c r="W742" s="15"/>
    </row>
    <row r="743">
      <c r="J743" s="15"/>
      <c r="V743" s="15"/>
      <c r="W743" s="15"/>
    </row>
    <row r="744">
      <c r="J744" s="15"/>
      <c r="V744" s="15"/>
      <c r="W744" s="15"/>
    </row>
    <row r="745">
      <c r="J745" s="15"/>
      <c r="V745" s="15"/>
      <c r="W745" s="15"/>
    </row>
    <row r="746">
      <c r="J746" s="15"/>
      <c r="V746" s="15"/>
      <c r="W746" s="15"/>
    </row>
    <row r="747">
      <c r="J747" s="15"/>
      <c r="V747" s="15"/>
      <c r="W747" s="15"/>
    </row>
    <row r="748">
      <c r="J748" s="15"/>
      <c r="V748" s="15"/>
      <c r="W748" s="15"/>
    </row>
    <row r="749">
      <c r="J749" s="15"/>
      <c r="V749" s="15"/>
      <c r="W749" s="15"/>
    </row>
    <row r="750">
      <c r="J750" s="15"/>
      <c r="V750" s="15"/>
      <c r="W750" s="15"/>
    </row>
    <row r="751">
      <c r="J751" s="15"/>
      <c r="V751" s="15"/>
      <c r="W751" s="15"/>
    </row>
    <row r="752">
      <c r="J752" s="15"/>
      <c r="V752" s="15"/>
      <c r="W752" s="15"/>
    </row>
    <row r="753">
      <c r="J753" s="15"/>
      <c r="V753" s="15"/>
      <c r="W753" s="15"/>
    </row>
    <row r="754">
      <c r="J754" s="15"/>
      <c r="V754" s="15"/>
      <c r="W754" s="15"/>
    </row>
    <row r="755">
      <c r="J755" s="15"/>
      <c r="V755" s="15"/>
      <c r="W755" s="15"/>
    </row>
    <row r="756">
      <c r="J756" s="15"/>
      <c r="V756" s="15"/>
      <c r="W756" s="15"/>
    </row>
    <row r="757">
      <c r="J757" s="15"/>
      <c r="V757" s="15"/>
      <c r="W757" s="15"/>
    </row>
    <row r="758">
      <c r="J758" s="15"/>
      <c r="V758" s="15"/>
      <c r="W758" s="15"/>
    </row>
    <row r="759">
      <c r="J759" s="15"/>
      <c r="V759" s="15"/>
      <c r="W759" s="15"/>
    </row>
    <row r="760">
      <c r="J760" s="15"/>
      <c r="V760" s="15"/>
      <c r="W760" s="15"/>
    </row>
    <row r="761">
      <c r="J761" s="15"/>
      <c r="V761" s="15"/>
      <c r="W761" s="15"/>
    </row>
    <row r="762">
      <c r="J762" s="15"/>
      <c r="V762" s="15"/>
      <c r="W762" s="15"/>
    </row>
    <row r="763">
      <c r="J763" s="15"/>
      <c r="V763" s="15"/>
      <c r="W763" s="15"/>
    </row>
    <row r="764">
      <c r="J764" s="15"/>
      <c r="V764" s="15"/>
      <c r="W764" s="15"/>
    </row>
    <row r="765">
      <c r="J765" s="15"/>
      <c r="V765" s="15"/>
      <c r="W765" s="15"/>
    </row>
    <row r="766">
      <c r="J766" s="15"/>
      <c r="V766" s="15"/>
      <c r="W766" s="15"/>
    </row>
    <row r="767">
      <c r="J767" s="15"/>
      <c r="V767" s="15"/>
      <c r="W767" s="15"/>
    </row>
    <row r="768">
      <c r="J768" s="15"/>
      <c r="V768" s="15"/>
      <c r="W768" s="15"/>
    </row>
    <row r="769">
      <c r="J769" s="15"/>
      <c r="V769" s="15"/>
      <c r="W769" s="15"/>
    </row>
    <row r="770">
      <c r="J770" s="15"/>
      <c r="V770" s="15"/>
      <c r="W770" s="15"/>
    </row>
    <row r="771">
      <c r="J771" s="15"/>
      <c r="V771" s="15"/>
      <c r="W771" s="15"/>
    </row>
    <row r="772">
      <c r="J772" s="15"/>
      <c r="V772" s="15"/>
      <c r="W772" s="15"/>
    </row>
    <row r="773">
      <c r="J773" s="15"/>
      <c r="V773" s="15"/>
      <c r="W773" s="15"/>
    </row>
    <row r="774">
      <c r="J774" s="15"/>
      <c r="V774" s="15"/>
      <c r="W774" s="15"/>
    </row>
    <row r="775">
      <c r="J775" s="15"/>
      <c r="V775" s="15"/>
      <c r="W775" s="15"/>
    </row>
    <row r="776">
      <c r="J776" s="15"/>
      <c r="V776" s="15"/>
      <c r="W776" s="15"/>
    </row>
    <row r="777">
      <c r="J777" s="15"/>
      <c r="V777" s="15"/>
      <c r="W777" s="15"/>
    </row>
    <row r="778">
      <c r="J778" s="15"/>
      <c r="V778" s="15"/>
      <c r="W778" s="15"/>
    </row>
    <row r="779">
      <c r="J779" s="15"/>
      <c r="V779" s="15"/>
      <c r="W779" s="15"/>
    </row>
    <row r="780">
      <c r="J780" s="15"/>
      <c r="V780" s="15"/>
      <c r="W780" s="15"/>
    </row>
    <row r="781">
      <c r="J781" s="15"/>
      <c r="V781" s="15"/>
      <c r="W781" s="15"/>
    </row>
    <row r="782">
      <c r="J782" s="15"/>
      <c r="V782" s="15"/>
      <c r="W782" s="15"/>
    </row>
    <row r="783">
      <c r="J783" s="15"/>
      <c r="V783" s="15"/>
      <c r="W783" s="15"/>
    </row>
    <row r="784">
      <c r="J784" s="15"/>
      <c r="V784" s="15"/>
      <c r="W784" s="15"/>
    </row>
    <row r="785">
      <c r="J785" s="15"/>
      <c r="V785" s="15"/>
      <c r="W785" s="15"/>
    </row>
    <row r="786">
      <c r="J786" s="15"/>
      <c r="V786" s="15"/>
      <c r="W786" s="15"/>
    </row>
    <row r="787">
      <c r="J787" s="15"/>
      <c r="V787" s="15"/>
      <c r="W787" s="15"/>
    </row>
    <row r="788">
      <c r="J788" s="15"/>
      <c r="V788" s="15"/>
      <c r="W788" s="15"/>
    </row>
    <row r="789">
      <c r="J789" s="15"/>
      <c r="V789" s="15"/>
      <c r="W789" s="15"/>
    </row>
    <row r="790">
      <c r="J790" s="15"/>
      <c r="V790" s="15"/>
      <c r="W790" s="15"/>
    </row>
    <row r="791">
      <c r="J791" s="15"/>
      <c r="V791" s="15"/>
      <c r="W791" s="15"/>
    </row>
    <row r="792">
      <c r="J792" s="15"/>
      <c r="V792" s="15"/>
      <c r="W792" s="15"/>
    </row>
    <row r="793">
      <c r="J793" s="15"/>
      <c r="V793" s="15"/>
      <c r="W793" s="15"/>
    </row>
    <row r="794">
      <c r="J794" s="15"/>
      <c r="V794" s="15"/>
      <c r="W794" s="15"/>
    </row>
    <row r="795">
      <c r="J795" s="15"/>
      <c r="V795" s="15"/>
      <c r="W795" s="15"/>
    </row>
    <row r="796">
      <c r="J796" s="15"/>
      <c r="V796" s="15"/>
      <c r="W796" s="15"/>
    </row>
    <row r="797">
      <c r="J797" s="15"/>
      <c r="V797" s="15"/>
      <c r="W797" s="15"/>
    </row>
    <row r="798">
      <c r="J798" s="15"/>
      <c r="V798" s="15"/>
      <c r="W798" s="15"/>
    </row>
    <row r="799">
      <c r="J799" s="15"/>
      <c r="V799" s="15"/>
      <c r="W799" s="15"/>
    </row>
    <row r="800">
      <c r="J800" s="15"/>
      <c r="V800" s="15"/>
      <c r="W800" s="15"/>
    </row>
    <row r="801">
      <c r="J801" s="15"/>
      <c r="V801" s="15"/>
      <c r="W801" s="15"/>
    </row>
    <row r="802">
      <c r="J802" s="15"/>
      <c r="V802" s="15"/>
      <c r="W802" s="15"/>
    </row>
    <row r="803">
      <c r="J803" s="15"/>
      <c r="V803" s="15"/>
      <c r="W803" s="15"/>
    </row>
    <row r="804">
      <c r="J804" s="15"/>
      <c r="V804" s="15"/>
      <c r="W804" s="15"/>
    </row>
    <row r="805">
      <c r="J805" s="15"/>
      <c r="V805" s="15"/>
      <c r="W805" s="15"/>
    </row>
    <row r="806">
      <c r="J806" s="15"/>
      <c r="V806" s="15"/>
      <c r="W806" s="15"/>
    </row>
    <row r="807">
      <c r="J807" s="15"/>
      <c r="V807" s="15"/>
      <c r="W807" s="15"/>
    </row>
    <row r="808">
      <c r="J808" s="15"/>
      <c r="V808" s="15"/>
      <c r="W808" s="15"/>
    </row>
    <row r="809">
      <c r="J809" s="15"/>
      <c r="V809" s="15"/>
      <c r="W809" s="15"/>
    </row>
    <row r="810">
      <c r="J810" s="15"/>
      <c r="V810" s="15"/>
      <c r="W810" s="15"/>
    </row>
    <row r="811">
      <c r="J811" s="15"/>
      <c r="V811" s="15"/>
      <c r="W811" s="15"/>
    </row>
    <row r="812">
      <c r="J812" s="15"/>
      <c r="V812" s="15"/>
      <c r="W812" s="15"/>
    </row>
    <row r="813">
      <c r="J813" s="15"/>
      <c r="V813" s="15"/>
      <c r="W813" s="15"/>
    </row>
    <row r="814">
      <c r="J814" s="15"/>
      <c r="V814" s="15"/>
      <c r="W814" s="15"/>
    </row>
    <row r="815">
      <c r="J815" s="15"/>
      <c r="V815" s="15"/>
      <c r="W815" s="15"/>
    </row>
    <row r="816">
      <c r="J816" s="15"/>
      <c r="V816" s="15"/>
      <c r="W816" s="15"/>
    </row>
    <row r="817">
      <c r="J817" s="15"/>
      <c r="V817" s="15"/>
      <c r="W817" s="15"/>
    </row>
    <row r="818">
      <c r="J818" s="15"/>
      <c r="V818" s="15"/>
      <c r="W818" s="15"/>
    </row>
    <row r="819">
      <c r="J819" s="15"/>
      <c r="V819" s="15"/>
      <c r="W819" s="15"/>
    </row>
    <row r="820">
      <c r="J820" s="15"/>
      <c r="V820" s="15"/>
      <c r="W820" s="15"/>
    </row>
    <row r="821">
      <c r="J821" s="15"/>
      <c r="V821" s="15"/>
      <c r="W821" s="15"/>
    </row>
    <row r="822">
      <c r="J822" s="15"/>
      <c r="V822" s="15"/>
      <c r="W822" s="15"/>
    </row>
    <row r="823">
      <c r="J823" s="15"/>
      <c r="V823" s="15"/>
      <c r="W823" s="15"/>
    </row>
    <row r="824">
      <c r="J824" s="15"/>
      <c r="V824" s="15"/>
      <c r="W824" s="15"/>
    </row>
    <row r="825">
      <c r="J825" s="15"/>
      <c r="V825" s="15"/>
      <c r="W825" s="15"/>
    </row>
    <row r="826">
      <c r="J826" s="15"/>
      <c r="V826" s="15"/>
      <c r="W826" s="15"/>
    </row>
    <row r="827">
      <c r="J827" s="15"/>
      <c r="V827" s="15"/>
      <c r="W827" s="15"/>
    </row>
    <row r="828">
      <c r="J828" s="15"/>
      <c r="V828" s="15"/>
      <c r="W828" s="15"/>
    </row>
    <row r="829">
      <c r="J829" s="15"/>
      <c r="V829" s="15"/>
      <c r="W829" s="15"/>
    </row>
    <row r="830">
      <c r="J830" s="15"/>
      <c r="V830" s="15"/>
      <c r="W830" s="15"/>
    </row>
    <row r="831">
      <c r="J831" s="15"/>
      <c r="V831" s="15"/>
      <c r="W831" s="15"/>
    </row>
    <row r="832">
      <c r="J832" s="15"/>
      <c r="V832" s="15"/>
      <c r="W832" s="15"/>
    </row>
    <row r="833">
      <c r="J833" s="15"/>
      <c r="V833" s="15"/>
      <c r="W833" s="15"/>
    </row>
    <row r="834">
      <c r="J834" s="15"/>
      <c r="V834" s="15"/>
      <c r="W834" s="15"/>
    </row>
    <row r="835">
      <c r="J835" s="15"/>
      <c r="V835" s="15"/>
      <c r="W835" s="15"/>
    </row>
    <row r="836">
      <c r="J836" s="15"/>
      <c r="V836" s="15"/>
      <c r="W836" s="15"/>
    </row>
    <row r="837">
      <c r="J837" s="15"/>
      <c r="V837" s="15"/>
      <c r="W837" s="15"/>
    </row>
    <row r="838">
      <c r="J838" s="15"/>
      <c r="V838" s="15"/>
      <c r="W838" s="15"/>
    </row>
    <row r="839">
      <c r="J839" s="15"/>
      <c r="V839" s="15"/>
      <c r="W839" s="15"/>
    </row>
    <row r="840">
      <c r="J840" s="15"/>
      <c r="V840" s="15"/>
      <c r="W840" s="15"/>
    </row>
    <row r="841">
      <c r="J841" s="15"/>
      <c r="V841" s="15"/>
      <c r="W841" s="15"/>
    </row>
    <row r="842">
      <c r="J842" s="15"/>
      <c r="V842" s="15"/>
      <c r="W842" s="15"/>
    </row>
    <row r="843">
      <c r="J843" s="15"/>
      <c r="V843" s="15"/>
      <c r="W843" s="15"/>
    </row>
    <row r="844">
      <c r="J844" s="15"/>
      <c r="V844" s="15"/>
      <c r="W844" s="15"/>
    </row>
    <row r="845">
      <c r="J845" s="15"/>
      <c r="V845" s="15"/>
      <c r="W845" s="15"/>
    </row>
    <row r="846">
      <c r="J846" s="15"/>
      <c r="V846" s="15"/>
      <c r="W846" s="15"/>
    </row>
    <row r="847">
      <c r="J847" s="15"/>
      <c r="V847" s="15"/>
      <c r="W847" s="15"/>
    </row>
    <row r="848">
      <c r="J848" s="15"/>
      <c r="V848" s="15"/>
      <c r="W848" s="15"/>
    </row>
    <row r="849">
      <c r="J849" s="15"/>
      <c r="V849" s="15"/>
      <c r="W849" s="15"/>
    </row>
    <row r="850">
      <c r="J850" s="15"/>
      <c r="V850" s="15"/>
      <c r="W850" s="15"/>
    </row>
    <row r="851">
      <c r="J851" s="15"/>
      <c r="V851" s="15"/>
      <c r="W851" s="15"/>
    </row>
    <row r="852">
      <c r="J852" s="15"/>
      <c r="V852" s="15"/>
      <c r="W852" s="15"/>
    </row>
    <row r="853">
      <c r="J853" s="15"/>
      <c r="V853" s="15"/>
      <c r="W853" s="15"/>
    </row>
    <row r="854">
      <c r="J854" s="15"/>
      <c r="V854" s="15"/>
      <c r="W854" s="15"/>
    </row>
    <row r="855">
      <c r="J855" s="15"/>
      <c r="V855" s="15"/>
      <c r="W855" s="15"/>
    </row>
    <row r="856">
      <c r="J856" s="15"/>
      <c r="V856" s="15"/>
      <c r="W856" s="15"/>
    </row>
    <row r="857">
      <c r="J857" s="15"/>
      <c r="V857" s="15"/>
      <c r="W857" s="15"/>
    </row>
    <row r="858">
      <c r="J858" s="15"/>
      <c r="V858" s="15"/>
      <c r="W858" s="15"/>
    </row>
    <row r="859">
      <c r="J859" s="15"/>
      <c r="V859" s="15"/>
      <c r="W859" s="15"/>
    </row>
    <row r="860">
      <c r="J860" s="15"/>
      <c r="V860" s="15"/>
      <c r="W860" s="15"/>
    </row>
    <row r="861">
      <c r="J861" s="15"/>
      <c r="V861" s="15"/>
      <c r="W861" s="15"/>
    </row>
    <row r="862">
      <c r="J862" s="15"/>
      <c r="V862" s="15"/>
      <c r="W862" s="15"/>
    </row>
    <row r="863">
      <c r="J863" s="15"/>
      <c r="V863" s="15"/>
      <c r="W863" s="15"/>
    </row>
    <row r="864">
      <c r="J864" s="15"/>
      <c r="V864" s="15"/>
      <c r="W864" s="15"/>
    </row>
    <row r="865">
      <c r="J865" s="15"/>
      <c r="V865" s="15"/>
      <c r="W865" s="15"/>
    </row>
    <row r="866">
      <c r="J866" s="15"/>
      <c r="V866" s="15"/>
      <c r="W866" s="15"/>
    </row>
    <row r="867">
      <c r="J867" s="15"/>
      <c r="V867" s="15"/>
      <c r="W867" s="15"/>
    </row>
    <row r="868">
      <c r="J868" s="15"/>
      <c r="V868" s="15"/>
      <c r="W868" s="15"/>
    </row>
    <row r="869">
      <c r="J869" s="15"/>
      <c r="V869" s="15"/>
      <c r="W869" s="15"/>
    </row>
    <row r="870">
      <c r="J870" s="15"/>
      <c r="V870" s="15"/>
      <c r="W870" s="15"/>
    </row>
    <row r="871">
      <c r="J871" s="15"/>
      <c r="V871" s="15"/>
      <c r="W871" s="15"/>
    </row>
    <row r="872">
      <c r="J872" s="15"/>
      <c r="V872" s="15"/>
      <c r="W872" s="15"/>
    </row>
    <row r="873">
      <c r="J873" s="15"/>
      <c r="V873" s="15"/>
      <c r="W873" s="15"/>
    </row>
    <row r="874">
      <c r="J874" s="15"/>
      <c r="V874" s="15"/>
      <c r="W874" s="15"/>
    </row>
    <row r="875">
      <c r="J875" s="15"/>
      <c r="V875" s="15"/>
      <c r="W875" s="15"/>
    </row>
    <row r="876">
      <c r="J876" s="15"/>
      <c r="V876" s="15"/>
      <c r="W876" s="15"/>
    </row>
    <row r="877">
      <c r="J877" s="15"/>
      <c r="V877" s="15"/>
      <c r="W877" s="15"/>
    </row>
    <row r="878">
      <c r="J878" s="15"/>
      <c r="V878" s="15"/>
      <c r="W878" s="15"/>
    </row>
    <row r="879">
      <c r="J879" s="15"/>
      <c r="V879" s="15"/>
      <c r="W879" s="15"/>
    </row>
    <row r="880">
      <c r="J880" s="15"/>
      <c r="V880" s="15"/>
      <c r="W880" s="15"/>
    </row>
    <row r="881">
      <c r="J881" s="15"/>
      <c r="V881" s="15"/>
      <c r="W881" s="15"/>
    </row>
    <row r="882">
      <c r="J882" s="15"/>
      <c r="V882" s="15"/>
      <c r="W882" s="15"/>
    </row>
    <row r="883">
      <c r="J883" s="15"/>
      <c r="V883" s="15"/>
      <c r="W883" s="15"/>
    </row>
    <row r="884">
      <c r="J884" s="15"/>
      <c r="V884" s="15"/>
      <c r="W884" s="15"/>
    </row>
    <row r="885">
      <c r="J885" s="15"/>
      <c r="V885" s="15"/>
      <c r="W885" s="15"/>
    </row>
    <row r="886">
      <c r="J886" s="15"/>
      <c r="V886" s="15"/>
      <c r="W886" s="15"/>
    </row>
    <row r="887">
      <c r="J887" s="15"/>
      <c r="V887" s="15"/>
      <c r="W887" s="15"/>
    </row>
    <row r="888">
      <c r="J888" s="15"/>
      <c r="V888" s="15"/>
      <c r="W888" s="15"/>
    </row>
    <row r="889">
      <c r="J889" s="15"/>
      <c r="V889" s="15"/>
      <c r="W889" s="15"/>
    </row>
    <row r="890">
      <c r="J890" s="15"/>
      <c r="V890" s="15"/>
      <c r="W890" s="15"/>
    </row>
    <row r="891">
      <c r="J891" s="15"/>
      <c r="V891" s="15"/>
      <c r="W891" s="15"/>
    </row>
    <row r="892">
      <c r="J892" s="15"/>
      <c r="V892" s="15"/>
      <c r="W892" s="15"/>
    </row>
    <row r="893">
      <c r="J893" s="15"/>
      <c r="V893" s="15"/>
      <c r="W893" s="15"/>
    </row>
    <row r="894">
      <c r="J894" s="15"/>
      <c r="V894" s="15"/>
      <c r="W894" s="15"/>
    </row>
    <row r="895">
      <c r="J895" s="15"/>
      <c r="V895" s="15"/>
      <c r="W895" s="15"/>
    </row>
    <row r="896">
      <c r="J896" s="15"/>
      <c r="V896" s="15"/>
      <c r="W896" s="15"/>
    </row>
    <row r="897">
      <c r="J897" s="15"/>
      <c r="V897" s="15"/>
      <c r="W897" s="15"/>
    </row>
    <row r="898">
      <c r="J898" s="15"/>
      <c r="V898" s="15"/>
      <c r="W898" s="15"/>
    </row>
    <row r="899">
      <c r="J899" s="15"/>
      <c r="V899" s="15"/>
      <c r="W899" s="15"/>
    </row>
    <row r="900">
      <c r="J900" s="15"/>
      <c r="V900" s="15"/>
      <c r="W900" s="15"/>
    </row>
    <row r="901">
      <c r="J901" s="15"/>
      <c r="V901" s="15"/>
      <c r="W901" s="15"/>
    </row>
    <row r="902">
      <c r="J902" s="15"/>
      <c r="V902" s="15"/>
      <c r="W902" s="15"/>
    </row>
    <row r="903">
      <c r="J903" s="15"/>
      <c r="V903" s="15"/>
      <c r="W903" s="15"/>
    </row>
    <row r="904">
      <c r="J904" s="15"/>
      <c r="V904" s="15"/>
      <c r="W904" s="15"/>
    </row>
    <row r="905">
      <c r="J905" s="15"/>
      <c r="V905" s="15"/>
      <c r="W905" s="15"/>
    </row>
    <row r="906">
      <c r="J906" s="15"/>
      <c r="V906" s="15"/>
      <c r="W906" s="15"/>
    </row>
    <row r="907">
      <c r="J907" s="15"/>
      <c r="V907" s="15"/>
      <c r="W907" s="15"/>
    </row>
    <row r="908">
      <c r="J908" s="15"/>
      <c r="V908" s="15"/>
      <c r="W908" s="15"/>
    </row>
    <row r="909">
      <c r="J909" s="15"/>
      <c r="V909" s="15"/>
      <c r="W909" s="15"/>
    </row>
    <row r="910">
      <c r="J910" s="15"/>
      <c r="V910" s="15"/>
      <c r="W910" s="15"/>
    </row>
    <row r="911">
      <c r="J911" s="15"/>
      <c r="V911" s="15"/>
      <c r="W911" s="15"/>
    </row>
    <row r="912">
      <c r="J912" s="15"/>
      <c r="V912" s="15"/>
      <c r="W912" s="15"/>
    </row>
    <row r="913">
      <c r="J913" s="15"/>
      <c r="V913" s="15"/>
      <c r="W913" s="15"/>
    </row>
    <row r="914">
      <c r="J914" s="15"/>
      <c r="V914" s="15"/>
      <c r="W914" s="15"/>
    </row>
    <row r="915">
      <c r="J915" s="15"/>
      <c r="V915" s="15"/>
      <c r="W915" s="15"/>
    </row>
    <row r="916">
      <c r="J916" s="15"/>
      <c r="V916" s="15"/>
      <c r="W916" s="15"/>
    </row>
    <row r="917">
      <c r="J917" s="15"/>
      <c r="V917" s="15"/>
      <c r="W917" s="15"/>
    </row>
    <row r="918">
      <c r="J918" s="15"/>
      <c r="V918" s="15"/>
      <c r="W918" s="15"/>
    </row>
    <row r="919">
      <c r="J919" s="15"/>
      <c r="V919" s="15"/>
      <c r="W919" s="15"/>
    </row>
    <row r="920">
      <c r="J920" s="15"/>
      <c r="V920" s="15"/>
      <c r="W920" s="15"/>
    </row>
    <row r="921">
      <c r="J921" s="15"/>
      <c r="V921" s="15"/>
      <c r="W921" s="15"/>
    </row>
    <row r="922">
      <c r="J922" s="15"/>
      <c r="V922" s="15"/>
      <c r="W922" s="15"/>
    </row>
    <row r="923">
      <c r="J923" s="15"/>
      <c r="V923" s="15"/>
      <c r="W923" s="15"/>
    </row>
    <row r="924">
      <c r="J924" s="15"/>
      <c r="V924" s="15"/>
      <c r="W924" s="15"/>
    </row>
    <row r="925">
      <c r="J925" s="15"/>
      <c r="V925" s="15"/>
      <c r="W925" s="15"/>
    </row>
    <row r="926">
      <c r="J926" s="15"/>
      <c r="V926" s="15"/>
      <c r="W926" s="15"/>
    </row>
    <row r="927">
      <c r="J927" s="15"/>
      <c r="V927" s="15"/>
      <c r="W927" s="15"/>
    </row>
    <row r="928">
      <c r="J928" s="15"/>
      <c r="V928" s="15"/>
      <c r="W928" s="15"/>
    </row>
    <row r="929">
      <c r="J929" s="15"/>
      <c r="V929" s="15"/>
      <c r="W929" s="15"/>
    </row>
    <row r="930">
      <c r="J930" s="15"/>
      <c r="V930" s="15"/>
      <c r="W930" s="15"/>
    </row>
    <row r="931">
      <c r="J931" s="15"/>
      <c r="V931" s="15"/>
      <c r="W931" s="15"/>
    </row>
    <row r="932">
      <c r="J932" s="15"/>
      <c r="V932" s="15"/>
      <c r="W932" s="15"/>
    </row>
    <row r="933">
      <c r="J933" s="15"/>
      <c r="V933" s="15"/>
      <c r="W933" s="15"/>
    </row>
    <row r="934">
      <c r="J934" s="15"/>
      <c r="V934" s="15"/>
      <c r="W934" s="15"/>
    </row>
    <row r="935">
      <c r="J935" s="15"/>
      <c r="V935" s="15"/>
      <c r="W935" s="15"/>
    </row>
    <row r="936">
      <c r="J936" s="15"/>
      <c r="V936" s="15"/>
      <c r="W936" s="15"/>
    </row>
    <row r="937">
      <c r="J937" s="15"/>
      <c r="V937" s="15"/>
      <c r="W937" s="15"/>
    </row>
    <row r="938">
      <c r="J938" s="15"/>
      <c r="V938" s="15"/>
      <c r="W938" s="15"/>
    </row>
    <row r="939">
      <c r="J939" s="15"/>
      <c r="V939" s="15"/>
      <c r="W939" s="15"/>
    </row>
    <row r="940">
      <c r="J940" s="15"/>
      <c r="V940" s="15"/>
      <c r="W940" s="15"/>
    </row>
    <row r="941">
      <c r="J941" s="15"/>
      <c r="V941" s="15"/>
      <c r="W941" s="15"/>
    </row>
    <row r="942">
      <c r="J942" s="15"/>
      <c r="V942" s="15"/>
      <c r="W942" s="15"/>
    </row>
    <row r="943">
      <c r="J943" s="15"/>
      <c r="V943" s="15"/>
      <c r="W943" s="15"/>
    </row>
    <row r="944">
      <c r="J944" s="15"/>
      <c r="V944" s="15"/>
      <c r="W944" s="15"/>
    </row>
    <row r="945">
      <c r="J945" s="15"/>
      <c r="V945" s="15"/>
      <c r="W945" s="15"/>
    </row>
    <row r="946">
      <c r="J946" s="15"/>
      <c r="V946" s="15"/>
      <c r="W946" s="15"/>
    </row>
    <row r="947">
      <c r="J947" s="15"/>
      <c r="V947" s="15"/>
      <c r="W947" s="15"/>
    </row>
    <row r="948">
      <c r="J948" s="15"/>
      <c r="V948" s="15"/>
      <c r="W948" s="15"/>
    </row>
    <row r="949">
      <c r="J949" s="15"/>
      <c r="V949" s="15"/>
      <c r="W949" s="15"/>
    </row>
    <row r="950">
      <c r="J950" s="15"/>
      <c r="V950" s="15"/>
      <c r="W950" s="15"/>
    </row>
    <row r="951">
      <c r="J951" s="15"/>
      <c r="V951" s="15"/>
      <c r="W951" s="15"/>
    </row>
    <row r="952">
      <c r="J952" s="15"/>
      <c r="V952" s="15"/>
      <c r="W952" s="15"/>
    </row>
    <row r="953">
      <c r="J953" s="15"/>
      <c r="V953" s="15"/>
      <c r="W953" s="15"/>
    </row>
    <row r="954">
      <c r="J954" s="15"/>
      <c r="V954" s="15"/>
      <c r="W954" s="15"/>
    </row>
    <row r="955">
      <c r="J955" s="15"/>
      <c r="V955" s="15"/>
      <c r="W955" s="15"/>
    </row>
    <row r="956">
      <c r="J956" s="15"/>
      <c r="V956" s="15"/>
      <c r="W956" s="15"/>
    </row>
    <row r="957">
      <c r="J957" s="15"/>
      <c r="V957" s="15"/>
      <c r="W957" s="15"/>
    </row>
    <row r="958">
      <c r="J958" s="15"/>
      <c r="V958" s="15"/>
      <c r="W958" s="15"/>
    </row>
    <row r="959">
      <c r="J959" s="15"/>
      <c r="V959" s="15"/>
      <c r="W959" s="15"/>
    </row>
    <row r="960">
      <c r="J960" s="15"/>
      <c r="V960" s="15"/>
      <c r="W960" s="15"/>
    </row>
    <row r="961">
      <c r="J961" s="15"/>
      <c r="V961" s="15"/>
      <c r="W961" s="15"/>
    </row>
    <row r="962">
      <c r="J962" s="15"/>
      <c r="V962" s="15"/>
      <c r="W962" s="15"/>
    </row>
    <row r="963">
      <c r="J963" s="15"/>
      <c r="V963" s="15"/>
      <c r="W963" s="15"/>
    </row>
    <row r="964">
      <c r="J964" s="15"/>
      <c r="V964" s="15"/>
      <c r="W964" s="15"/>
    </row>
    <row r="965">
      <c r="J965" s="15"/>
      <c r="V965" s="15"/>
      <c r="W965" s="15"/>
    </row>
    <row r="966">
      <c r="J966" s="15"/>
      <c r="V966" s="15"/>
      <c r="W966" s="15"/>
    </row>
    <row r="967">
      <c r="J967" s="15"/>
      <c r="V967" s="15"/>
      <c r="W967" s="15"/>
    </row>
    <row r="968">
      <c r="J968" s="15"/>
      <c r="V968" s="15"/>
      <c r="W968" s="15"/>
    </row>
    <row r="969">
      <c r="J969" s="15"/>
      <c r="V969" s="15"/>
      <c r="W969" s="15"/>
    </row>
    <row r="970">
      <c r="J970" s="15"/>
      <c r="V970" s="15"/>
      <c r="W970" s="15"/>
    </row>
    <row r="971">
      <c r="J971" s="15"/>
      <c r="V971" s="15"/>
      <c r="W971" s="15"/>
    </row>
    <row r="972">
      <c r="J972" s="15"/>
      <c r="V972" s="15"/>
      <c r="W972" s="15"/>
    </row>
    <row r="973">
      <c r="J973" s="15"/>
      <c r="V973" s="15"/>
      <c r="W973" s="15"/>
    </row>
    <row r="974">
      <c r="J974" s="15"/>
      <c r="V974" s="15"/>
      <c r="W974" s="15"/>
    </row>
    <row r="975">
      <c r="J975" s="15"/>
      <c r="V975" s="15"/>
      <c r="W975" s="15"/>
    </row>
    <row r="976">
      <c r="J976" s="15"/>
      <c r="V976" s="15"/>
      <c r="W976" s="15"/>
    </row>
    <row r="977">
      <c r="J977" s="15"/>
      <c r="V977" s="15"/>
      <c r="W977" s="15"/>
    </row>
    <row r="978">
      <c r="J978" s="15"/>
      <c r="V978" s="15"/>
      <c r="W978" s="15"/>
    </row>
    <row r="979">
      <c r="J979" s="15"/>
      <c r="V979" s="15"/>
      <c r="W979" s="15"/>
    </row>
    <row r="980">
      <c r="J980" s="15"/>
      <c r="V980" s="15"/>
      <c r="W980" s="15"/>
    </row>
    <row r="981">
      <c r="J981" s="15"/>
      <c r="V981" s="15"/>
      <c r="W981" s="15"/>
    </row>
    <row r="982">
      <c r="J982" s="15"/>
      <c r="V982" s="15"/>
      <c r="W982" s="15"/>
    </row>
    <row r="983">
      <c r="J983" s="15"/>
      <c r="V983" s="15"/>
      <c r="W983" s="15"/>
    </row>
    <row r="984">
      <c r="J984" s="15"/>
      <c r="V984" s="15"/>
      <c r="W984" s="15"/>
    </row>
    <row r="985">
      <c r="J985" s="15"/>
      <c r="V985" s="15"/>
      <c r="W985" s="15"/>
    </row>
    <row r="986">
      <c r="J986" s="15"/>
      <c r="V986" s="15"/>
      <c r="W986" s="15"/>
    </row>
    <row r="987">
      <c r="J987" s="15"/>
      <c r="V987" s="15"/>
      <c r="W987" s="15"/>
    </row>
    <row r="988">
      <c r="J988" s="15"/>
      <c r="V988" s="15"/>
      <c r="W988" s="15"/>
    </row>
    <row r="989">
      <c r="J989" s="15"/>
      <c r="V989" s="15"/>
      <c r="W989" s="15"/>
    </row>
    <row r="990">
      <c r="J990" s="15"/>
      <c r="V990" s="15"/>
      <c r="W990" s="15"/>
    </row>
    <row r="991">
      <c r="J991" s="15"/>
      <c r="V991" s="15"/>
      <c r="W991" s="15"/>
    </row>
    <row r="992">
      <c r="J992" s="15"/>
      <c r="V992" s="15"/>
      <c r="W992" s="15"/>
    </row>
    <row r="993">
      <c r="J993" s="15"/>
      <c r="V993" s="15"/>
      <c r="W993" s="15"/>
    </row>
    <row r="994">
      <c r="J994" s="15"/>
      <c r="V994" s="15"/>
      <c r="W994" s="15"/>
    </row>
    <row r="995">
      <c r="J995" s="15"/>
      <c r="V995" s="15"/>
      <c r="W995" s="15"/>
    </row>
    <row r="996">
      <c r="J996" s="15"/>
      <c r="V996" s="15"/>
      <c r="W996" s="15"/>
    </row>
    <row r="997">
      <c r="J997" s="15"/>
      <c r="V997" s="15"/>
      <c r="W997" s="15"/>
    </row>
    <row r="998">
      <c r="J998" s="15"/>
      <c r="V998" s="15"/>
      <c r="W998" s="15"/>
    </row>
    <row r="999">
      <c r="J999" s="15"/>
      <c r="V999" s="15"/>
      <c r="W999" s="15"/>
    </row>
  </sheetData>
  <autoFilter ref="$B$6:$J$37"/>
  <mergeCells count="4">
    <mergeCell ref="B2:C2"/>
    <mergeCell ref="L6:O6"/>
    <mergeCell ref="Q6:R6"/>
    <mergeCell ref="T6:X6"/>
  </mergeCells>
  <conditionalFormatting sqref="G7:G37">
    <cfRule type="colorScale" priority="1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C6:C37">
    <cfRule type="colorScale" priority="2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U8:U13">
    <cfRule type="cellIs" dxfId="0" priority="3" operator="lessThanOrEqual">
      <formula>MEDIAN($C$7:$C$34)</formula>
    </cfRule>
  </conditionalFormatting>
  <conditionalFormatting sqref="U8:U13">
    <cfRule type="cellIs" dxfId="1" priority="4" operator="greaterThan">
      <formula>MEDIAN($C$7:$C$34)</formula>
    </cfRule>
  </conditionalFormatting>
  <conditionalFormatting sqref="R9">
    <cfRule type="cellIs" dxfId="0" priority="5" operator="lessThanOrEqual">
      <formula>COUNT($B:$B) - (#REF! + #REF!)</formula>
    </cfRule>
  </conditionalFormatting>
  <conditionalFormatting sqref="R9">
    <cfRule type="cellIs" dxfId="1" priority="6" operator="greaterThan">
      <formula>COUNT($B:$B) - (#REF! + #REF!)</formula>
    </cfRule>
  </conditionalFormatting>
  <conditionalFormatting sqref="J7:J37">
    <cfRule type="cellIs" dxfId="0" priority="7" operator="equal">
      <formula>"Sim"</formula>
    </cfRule>
  </conditionalFormatting>
  <conditionalFormatting sqref="J7:J37">
    <cfRule type="cellIs" dxfId="1" priority="8" operator="equal">
      <formula>"Não"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13"/>
    <col customWidth="1" min="2" max="2" width="12.63"/>
    <col customWidth="1" min="3" max="3" width="10.88"/>
    <col customWidth="1" min="4" max="4" width="11.5"/>
    <col customWidth="1" min="5" max="6" width="8.38"/>
    <col customWidth="1" min="7" max="7" width="11.13"/>
    <col customWidth="1" min="8" max="9" width="10.0"/>
    <col customWidth="1" min="10" max="10" width="9.5"/>
    <col customWidth="1" min="11" max="11" width="1.5"/>
    <col customWidth="1" min="12" max="12" width="11.88"/>
    <col customWidth="1" min="13" max="13" width="10.25"/>
    <col customWidth="1" min="14" max="14" width="5.13"/>
    <col customWidth="1" min="15" max="15" width="10.13"/>
    <col customWidth="1" min="16" max="16" width="1.5"/>
    <col customWidth="1" min="17" max="17" width="14.38"/>
    <col customWidth="1" min="18" max="18" width="10.88"/>
    <col customWidth="1" min="19" max="19" width="1.38"/>
    <col customWidth="1" min="20" max="20" width="9.25"/>
    <col customWidth="1" min="21" max="21" width="9.13"/>
    <col customWidth="1" min="22" max="22" width="4.63"/>
    <col customWidth="1" min="23" max="23" width="8.38"/>
    <col customWidth="1" min="24" max="24" width="7.75"/>
    <col customWidth="1" min="25" max="25" width="2.63"/>
  </cols>
  <sheetData>
    <row r="1">
      <c r="J1" s="15"/>
      <c r="V1" s="15"/>
      <c r="W1" s="15"/>
    </row>
    <row r="2" ht="22.5" customHeight="1">
      <c r="B2" s="68" t="s">
        <v>40</v>
      </c>
      <c r="C2" s="27"/>
      <c r="J2" s="15"/>
      <c r="V2" s="15"/>
      <c r="W2" s="15"/>
    </row>
    <row r="3">
      <c r="B3" s="69" t="s">
        <v>41</v>
      </c>
      <c r="C3" s="70">
        <v>51.0</v>
      </c>
      <c r="J3" s="15"/>
      <c r="V3" s="15"/>
      <c r="W3" s="15"/>
    </row>
    <row r="4">
      <c r="B4" s="69" t="s">
        <v>42</v>
      </c>
      <c r="C4" s="71">
        <v>5000.0</v>
      </c>
      <c r="J4" s="15"/>
      <c r="V4" s="15"/>
      <c r="W4" s="15"/>
    </row>
    <row r="5">
      <c r="C5" s="1"/>
      <c r="J5" s="15"/>
      <c r="V5" s="15"/>
      <c r="W5" s="15"/>
    </row>
    <row r="6" ht="35.25" customHeight="1">
      <c r="A6" s="72"/>
      <c r="B6" s="73" t="s">
        <v>25</v>
      </c>
      <c r="C6" s="73" t="s">
        <v>43</v>
      </c>
      <c r="D6" s="73" t="s">
        <v>44</v>
      </c>
      <c r="E6" s="73" t="s">
        <v>45</v>
      </c>
      <c r="F6" s="73" t="s">
        <v>46</v>
      </c>
      <c r="G6" s="73" t="s">
        <v>47</v>
      </c>
      <c r="H6" s="73" t="s">
        <v>48</v>
      </c>
      <c r="I6" s="73" t="s">
        <v>49</v>
      </c>
      <c r="J6" s="73" t="s">
        <v>50</v>
      </c>
      <c r="L6" s="74" t="s">
        <v>51</v>
      </c>
      <c r="M6" s="26"/>
      <c r="N6" s="26"/>
      <c r="O6" s="27"/>
      <c r="Q6" s="74" t="s">
        <v>52</v>
      </c>
      <c r="R6" s="27"/>
      <c r="S6" s="72"/>
      <c r="T6" s="72"/>
    </row>
    <row r="7">
      <c r="A7" s="39"/>
      <c r="B7" s="39">
        <v>46113.0</v>
      </c>
      <c r="C7" s="75">
        <v>38396.0</v>
      </c>
      <c r="D7" s="75"/>
      <c r="E7" s="75"/>
      <c r="F7" s="75"/>
      <c r="G7" s="56" t="str">
        <f t="shared" ref="G7:G36" si="1">IF(SUM(D7:F7) = 0, , (SUM(D7:F7)))</f>
        <v/>
      </c>
      <c r="H7" s="76">
        <f t="shared" ref="H7:H36" si="2">IFERROR(G7/C7, )</f>
        <v>0</v>
      </c>
      <c r="I7" s="77">
        <f t="shared" ref="I7:I36" si="3">IFERROR(H7/25 * ($C$3/10), )</f>
        <v>0</v>
      </c>
      <c r="J7" s="41" t="str">
        <f t="shared" ref="J7:J36" si="4">IF(B7 &gt; TODAY(), "", IF(G7 = "", "Não", "Sim"))
</f>
        <v>Não</v>
      </c>
      <c r="L7" s="78"/>
      <c r="M7" s="79" t="s">
        <v>53</v>
      </c>
      <c r="N7" s="80" t="s">
        <v>54</v>
      </c>
      <c r="O7" s="81" t="s">
        <v>55</v>
      </c>
      <c r="Q7" s="82"/>
      <c r="R7" s="69" t="s">
        <v>56</v>
      </c>
      <c r="T7" s="2"/>
      <c r="U7" s="2"/>
      <c r="V7" s="2"/>
      <c r="W7" s="2"/>
      <c r="X7" s="83"/>
      <c r="Y7" s="2"/>
    </row>
    <row r="8">
      <c r="A8" s="39"/>
      <c r="B8" s="39">
        <v>46114.0</v>
      </c>
      <c r="C8" s="75"/>
      <c r="D8" s="75"/>
      <c r="E8" s="75"/>
      <c r="F8" s="75"/>
      <c r="G8" s="56" t="str">
        <f t="shared" si="1"/>
        <v/>
      </c>
      <c r="H8" s="76" t="str">
        <f t="shared" si="2"/>
        <v/>
      </c>
      <c r="I8" s="77">
        <f t="shared" si="3"/>
        <v>0</v>
      </c>
      <c r="J8" s="41" t="str">
        <f t="shared" si="4"/>
        <v/>
      </c>
      <c r="L8" s="84" t="s">
        <v>0</v>
      </c>
      <c r="M8" s="85">
        <f> IFERROR(MEDIAN(C7:C998), )</f>
        <v>38396</v>
      </c>
      <c r="N8" s="86"/>
      <c r="O8" s="87"/>
      <c r="P8" s="88"/>
      <c r="Q8" s="89" t="s">
        <v>57</v>
      </c>
      <c r="R8" s="17">
        <f>Count(B:B)</f>
        <v>30</v>
      </c>
      <c r="T8" s="90"/>
      <c r="U8" s="91"/>
      <c r="V8" s="2"/>
      <c r="W8" s="91"/>
      <c r="X8" s="92"/>
      <c r="Y8" s="56"/>
    </row>
    <row r="9">
      <c r="A9" s="39"/>
      <c r="B9" s="39">
        <v>46115.0</v>
      </c>
      <c r="C9" s="75"/>
      <c r="D9" s="75"/>
      <c r="E9" s="75"/>
      <c r="F9" s="75"/>
      <c r="G9" s="56" t="str">
        <f t="shared" si="1"/>
        <v/>
      </c>
      <c r="H9" s="76" t="str">
        <f t="shared" si="2"/>
        <v/>
      </c>
      <c r="I9" s="77">
        <f t="shared" si="3"/>
        <v>0</v>
      </c>
      <c r="J9" s="41" t="str">
        <f t="shared" si="4"/>
        <v/>
      </c>
      <c r="L9" s="89" t="s">
        <v>2</v>
      </c>
      <c r="M9" s="56" t="str">
        <f t="shared" ref="M9:N9" si="5"> IFERROR(MEDIAN(G7:G998), )</f>
        <v/>
      </c>
      <c r="N9" s="56">
        <f t="shared" si="5"/>
        <v>0</v>
      </c>
      <c r="O9" s="93">
        <f> IFERROR($N$9 * ($C$3/10)  / 25, )</f>
        <v>0</v>
      </c>
      <c r="P9" s="88"/>
      <c r="Q9" s="89" t="s">
        <v>58</v>
      </c>
      <c r="R9" s="17">
        <f>COUNTIF(J:J, "=Sim")</f>
        <v>0</v>
      </c>
      <c r="T9" s="90"/>
      <c r="U9" s="91"/>
      <c r="V9" s="2"/>
      <c r="W9" s="91"/>
      <c r="X9" s="92"/>
      <c r="Y9" s="56"/>
    </row>
    <row r="10">
      <c r="A10" s="39"/>
      <c r="B10" s="39">
        <v>46116.0</v>
      </c>
      <c r="C10" s="75"/>
      <c r="D10" s="75"/>
      <c r="E10" s="75"/>
      <c r="F10" s="75"/>
      <c r="G10" s="56" t="str">
        <f t="shared" si="1"/>
        <v/>
      </c>
      <c r="H10" s="76" t="str">
        <f t="shared" si="2"/>
        <v/>
      </c>
      <c r="I10" s="77">
        <f t="shared" si="3"/>
        <v>0</v>
      </c>
      <c r="J10" s="41" t="str">
        <f t="shared" si="4"/>
        <v/>
      </c>
      <c r="L10" s="89" t="s">
        <v>59</v>
      </c>
      <c r="M10" s="94">
        <f>IFERROR(SUM(G7:G998), )</f>
        <v>0</v>
      </c>
      <c r="N10" s="95">
        <f> IFERROR($M$10 / $M$8, )</f>
        <v>0</v>
      </c>
      <c r="O10" s="93">
        <f> IFERROR($N$10 * ($C$3/10)  / 25, )</f>
        <v>0</v>
      </c>
      <c r="P10" s="88"/>
      <c r="Q10" s="89" t="s">
        <v>60</v>
      </c>
      <c r="R10" s="96" t="str">
        <f>IFERROR(M12/M9, )</f>
        <v/>
      </c>
      <c r="T10" s="90"/>
      <c r="U10" s="91"/>
      <c r="V10" s="2"/>
      <c r="W10" s="91"/>
      <c r="X10" s="92"/>
      <c r="Y10" s="56"/>
    </row>
    <row r="11">
      <c r="A11" s="39"/>
      <c r="B11" s="39">
        <v>46117.0</v>
      </c>
      <c r="C11" s="75"/>
      <c r="D11" s="75"/>
      <c r="E11" s="75"/>
      <c r="F11" s="75"/>
      <c r="G11" s="56" t="str">
        <f t="shared" si="1"/>
        <v/>
      </c>
      <c r="H11" s="76" t="str">
        <f t="shared" si="2"/>
        <v/>
      </c>
      <c r="I11" s="77">
        <f t="shared" si="3"/>
        <v>0</v>
      </c>
      <c r="J11" s="41" t="str">
        <f t="shared" si="4"/>
        <v/>
      </c>
      <c r="L11" s="89" t="s">
        <v>61</v>
      </c>
      <c r="M11" s="75">
        <f> IFERROR($N$11 * $M$8, )</f>
        <v>191980000</v>
      </c>
      <c r="N11" s="98">
        <f> IFERROR($C$4, )</f>
        <v>5000</v>
      </c>
      <c r="O11" s="93">
        <f> IFERROR($N$11 * ($C$3/10)  / 25,"")</f>
        <v>1020</v>
      </c>
      <c r="Q11" s="89" t="s">
        <v>62</v>
      </c>
      <c r="R11" s="17">
        <f>COUNTIF($J:$J, "=Não")</f>
        <v>1</v>
      </c>
      <c r="T11" s="90"/>
      <c r="U11" s="91"/>
      <c r="V11" s="2"/>
      <c r="W11" s="91"/>
      <c r="X11" s="92"/>
      <c r="Y11" s="56"/>
    </row>
    <row r="12">
      <c r="A12" s="39"/>
      <c r="B12" s="39">
        <v>46118.0</v>
      </c>
      <c r="C12" s="75"/>
      <c r="D12" s="75"/>
      <c r="E12" s="56"/>
      <c r="F12" s="75"/>
      <c r="G12" s="56" t="str">
        <f t="shared" si="1"/>
        <v/>
      </c>
      <c r="H12" s="76" t="str">
        <f t="shared" si="2"/>
        <v/>
      </c>
      <c r="I12" s="77">
        <f t="shared" si="3"/>
        <v>0</v>
      </c>
      <c r="J12" s="41" t="str">
        <f t="shared" si="4"/>
        <v/>
      </c>
      <c r="L12" s="89" t="s">
        <v>63</v>
      </c>
      <c r="M12" s="56">
        <f> IFERROR($M$11 - $M$10, )</f>
        <v>191980000</v>
      </c>
      <c r="N12" s="56">
        <f>N11 - N10</f>
        <v>5000</v>
      </c>
      <c r="O12" s="93">
        <f> IFERROR($N$12 * ($C$3/10)  / 25, )</f>
        <v>1020</v>
      </c>
      <c r="Q12" s="89" t="s">
        <v>64</v>
      </c>
      <c r="R12" s="96">
        <f>R8 - R9 - R10</f>
        <v>30</v>
      </c>
      <c r="T12" s="90"/>
      <c r="U12" s="91"/>
      <c r="V12" s="2"/>
      <c r="W12" s="91"/>
      <c r="X12" s="92"/>
      <c r="Y12" s="56"/>
    </row>
    <row r="13">
      <c r="A13" s="39"/>
      <c r="B13" s="39">
        <v>46119.0</v>
      </c>
      <c r="C13" s="75"/>
      <c r="D13" s="75"/>
      <c r="E13" s="75"/>
      <c r="F13" s="75"/>
      <c r="G13" s="56" t="str">
        <f t="shared" si="1"/>
        <v/>
      </c>
      <c r="H13" s="76" t="str">
        <f t="shared" si="2"/>
        <v/>
      </c>
      <c r="I13" s="77">
        <f t="shared" si="3"/>
        <v>0</v>
      </c>
      <c r="J13" s="41" t="str">
        <f t="shared" si="4"/>
        <v/>
      </c>
      <c r="L13" s="99"/>
      <c r="M13" s="100"/>
      <c r="N13" s="100"/>
      <c r="O13" s="101"/>
      <c r="Q13" s="99" t="s">
        <v>7</v>
      </c>
      <c r="R13" s="23" t="str">
        <f>IF(M10 &gt;= M11, "🔵 Concluído", IF((R8-R9)-R10-R11&gt;=2, "🟢 Seguro", IF((R8-R9)-R10-R11&gt;=0, "🟡 Atenção", "🔴 Risco")))</f>
        <v>🟢 Seguro</v>
      </c>
      <c r="T13" s="90"/>
      <c r="U13" s="91"/>
      <c r="V13" s="2"/>
      <c r="W13" s="91"/>
      <c r="X13" s="92"/>
      <c r="Y13" s="56"/>
    </row>
    <row r="14">
      <c r="A14" s="39"/>
      <c r="B14" s="39">
        <v>46120.0</v>
      </c>
      <c r="C14" s="75"/>
      <c r="D14" s="75"/>
      <c r="E14" s="75"/>
      <c r="F14" s="75"/>
      <c r="G14" s="56" t="str">
        <f t="shared" si="1"/>
        <v/>
      </c>
      <c r="H14" s="76" t="str">
        <f t="shared" si="2"/>
        <v/>
      </c>
      <c r="I14" s="77">
        <f t="shared" si="3"/>
        <v>0</v>
      </c>
      <c r="J14" s="41" t="str">
        <f t="shared" si="4"/>
        <v/>
      </c>
      <c r="L14" s="1"/>
      <c r="M14" s="1"/>
      <c r="N14" s="1"/>
      <c r="O14" s="1"/>
      <c r="Q14" s="1"/>
      <c r="R14" s="15"/>
      <c r="V14" s="15"/>
      <c r="W14" s="15"/>
      <c r="Y14" s="56"/>
    </row>
    <row r="15">
      <c r="A15" s="39"/>
      <c r="B15" s="39">
        <v>46121.0</v>
      </c>
      <c r="C15" s="75"/>
      <c r="D15" s="75"/>
      <c r="E15" s="75"/>
      <c r="F15" s="75"/>
      <c r="G15" s="56" t="str">
        <f t="shared" si="1"/>
        <v/>
      </c>
      <c r="H15" s="76" t="str">
        <f t="shared" si="2"/>
        <v/>
      </c>
      <c r="I15" s="77">
        <f t="shared" si="3"/>
        <v>0</v>
      </c>
      <c r="J15" s="41" t="str">
        <f t="shared" si="4"/>
        <v/>
      </c>
      <c r="L15" s="1"/>
      <c r="V15" s="15"/>
      <c r="W15" s="15"/>
    </row>
    <row r="16">
      <c r="A16" s="39"/>
      <c r="B16" s="39">
        <v>46122.0</v>
      </c>
      <c r="C16" s="75"/>
      <c r="D16" s="75"/>
      <c r="E16" s="75"/>
      <c r="F16" s="75"/>
      <c r="G16" s="56" t="str">
        <f t="shared" si="1"/>
        <v/>
      </c>
      <c r="H16" s="76" t="str">
        <f t="shared" si="2"/>
        <v/>
      </c>
      <c r="I16" s="77">
        <f t="shared" si="3"/>
        <v>0</v>
      </c>
      <c r="J16" s="41" t="str">
        <f t="shared" si="4"/>
        <v/>
      </c>
      <c r="N16" s="102"/>
      <c r="V16" s="15"/>
      <c r="W16" s="15"/>
    </row>
    <row r="17">
      <c r="A17" s="39"/>
      <c r="B17" s="39">
        <v>46123.0</v>
      </c>
      <c r="C17" s="75"/>
      <c r="D17" s="75"/>
      <c r="E17" s="75"/>
      <c r="F17" s="75"/>
      <c r="G17" s="56" t="str">
        <f t="shared" si="1"/>
        <v/>
      </c>
      <c r="H17" s="76" t="str">
        <f t="shared" si="2"/>
        <v/>
      </c>
      <c r="I17" s="77">
        <f t="shared" si="3"/>
        <v>0</v>
      </c>
      <c r="J17" s="41" t="str">
        <f t="shared" si="4"/>
        <v/>
      </c>
      <c r="V17" s="15"/>
      <c r="W17" s="15"/>
    </row>
    <row r="18">
      <c r="A18" s="39"/>
      <c r="B18" s="39">
        <v>46124.0</v>
      </c>
      <c r="C18" s="56"/>
      <c r="D18" s="56"/>
      <c r="E18" s="56"/>
      <c r="F18" s="56"/>
      <c r="G18" s="56" t="str">
        <f t="shared" si="1"/>
        <v/>
      </c>
      <c r="H18" s="76" t="str">
        <f t="shared" si="2"/>
        <v/>
      </c>
      <c r="I18" s="77">
        <f t="shared" si="3"/>
        <v>0</v>
      </c>
      <c r="J18" s="41" t="str">
        <f t="shared" si="4"/>
        <v/>
      </c>
      <c r="V18" s="15"/>
      <c r="W18" s="15"/>
    </row>
    <row r="19">
      <c r="A19" s="39"/>
      <c r="B19" s="39">
        <v>46125.0</v>
      </c>
      <c r="C19" s="56"/>
      <c r="D19" s="56"/>
      <c r="E19" s="56"/>
      <c r="F19" s="56"/>
      <c r="G19" s="56" t="str">
        <f t="shared" si="1"/>
        <v/>
      </c>
      <c r="H19" s="76" t="str">
        <f t="shared" si="2"/>
        <v/>
      </c>
      <c r="I19" s="77">
        <f t="shared" si="3"/>
        <v>0</v>
      </c>
      <c r="J19" s="41" t="str">
        <f t="shared" si="4"/>
        <v/>
      </c>
      <c r="V19" s="15"/>
      <c r="W19" s="15"/>
    </row>
    <row r="20">
      <c r="A20" s="39"/>
      <c r="B20" s="39">
        <v>46126.0</v>
      </c>
      <c r="C20" s="56"/>
      <c r="D20" s="56"/>
      <c r="E20" s="56"/>
      <c r="F20" s="56"/>
      <c r="G20" s="56" t="str">
        <f t="shared" si="1"/>
        <v/>
      </c>
      <c r="H20" s="76" t="str">
        <f t="shared" si="2"/>
        <v/>
      </c>
      <c r="I20" s="77">
        <f t="shared" si="3"/>
        <v>0</v>
      </c>
      <c r="J20" s="41" t="str">
        <f t="shared" si="4"/>
        <v/>
      </c>
      <c r="V20" s="15"/>
      <c r="W20" s="15"/>
    </row>
    <row r="21">
      <c r="A21" s="39"/>
      <c r="B21" s="39">
        <v>46127.0</v>
      </c>
      <c r="C21" s="56"/>
      <c r="D21" s="56"/>
      <c r="E21" s="56"/>
      <c r="F21" s="56"/>
      <c r="G21" s="56" t="str">
        <f t="shared" si="1"/>
        <v/>
      </c>
      <c r="H21" s="76" t="str">
        <f t="shared" si="2"/>
        <v/>
      </c>
      <c r="I21" s="77">
        <f t="shared" si="3"/>
        <v>0</v>
      </c>
      <c r="J21" s="41" t="str">
        <f t="shared" si="4"/>
        <v/>
      </c>
      <c r="V21" s="15"/>
      <c r="W21" s="15"/>
    </row>
    <row r="22">
      <c r="A22" s="39"/>
      <c r="B22" s="39">
        <v>46128.0</v>
      </c>
      <c r="C22" s="56"/>
      <c r="D22" s="56"/>
      <c r="E22" s="56"/>
      <c r="F22" s="56"/>
      <c r="G22" s="56" t="str">
        <f t="shared" si="1"/>
        <v/>
      </c>
      <c r="H22" s="76" t="str">
        <f t="shared" si="2"/>
        <v/>
      </c>
      <c r="I22" s="77">
        <f t="shared" si="3"/>
        <v>0</v>
      </c>
      <c r="J22" s="41" t="str">
        <f t="shared" si="4"/>
        <v/>
      </c>
      <c r="V22" s="15"/>
      <c r="W22" s="15"/>
    </row>
    <row r="23">
      <c r="A23" s="39"/>
      <c r="B23" s="39">
        <v>46129.0</v>
      </c>
      <c r="C23" s="56"/>
      <c r="D23" s="56"/>
      <c r="E23" s="56"/>
      <c r="F23" s="56"/>
      <c r="G23" s="56" t="str">
        <f t="shared" si="1"/>
        <v/>
      </c>
      <c r="H23" s="76" t="str">
        <f t="shared" si="2"/>
        <v/>
      </c>
      <c r="I23" s="77">
        <f t="shared" si="3"/>
        <v>0</v>
      </c>
      <c r="J23" s="41" t="str">
        <f t="shared" si="4"/>
        <v/>
      </c>
      <c r="V23" s="15"/>
      <c r="W23" s="15"/>
    </row>
    <row r="24">
      <c r="A24" s="39"/>
      <c r="B24" s="39">
        <v>46130.0</v>
      </c>
      <c r="C24" s="56"/>
      <c r="D24" s="56"/>
      <c r="E24" s="56"/>
      <c r="F24" s="56"/>
      <c r="G24" s="56" t="str">
        <f t="shared" si="1"/>
        <v/>
      </c>
      <c r="H24" s="76" t="str">
        <f t="shared" si="2"/>
        <v/>
      </c>
      <c r="I24" s="77">
        <f t="shared" si="3"/>
        <v>0</v>
      </c>
      <c r="J24" s="41" t="str">
        <f t="shared" si="4"/>
        <v/>
      </c>
      <c r="N24" s="1"/>
      <c r="V24" s="15"/>
      <c r="W24" s="15"/>
    </row>
    <row r="25">
      <c r="A25" s="39"/>
      <c r="B25" s="39">
        <v>46131.0</v>
      </c>
      <c r="C25" s="75"/>
      <c r="D25" s="56"/>
      <c r="E25" s="75"/>
      <c r="F25" s="75"/>
      <c r="G25" s="56" t="str">
        <f t="shared" si="1"/>
        <v/>
      </c>
      <c r="H25" s="76" t="str">
        <f t="shared" si="2"/>
        <v/>
      </c>
      <c r="I25" s="77">
        <f t="shared" si="3"/>
        <v>0</v>
      </c>
      <c r="J25" s="41" t="str">
        <f t="shared" si="4"/>
        <v/>
      </c>
      <c r="V25" s="15"/>
      <c r="W25" s="15"/>
    </row>
    <row r="26">
      <c r="A26" s="39"/>
      <c r="B26" s="39">
        <v>46132.0</v>
      </c>
      <c r="C26" s="75"/>
      <c r="D26" s="56"/>
      <c r="E26" s="56"/>
      <c r="F26" s="75"/>
      <c r="G26" s="56" t="str">
        <f t="shared" si="1"/>
        <v/>
      </c>
      <c r="H26" s="76" t="str">
        <f t="shared" si="2"/>
        <v/>
      </c>
      <c r="I26" s="77">
        <f t="shared" si="3"/>
        <v>0</v>
      </c>
      <c r="J26" s="41" t="str">
        <f t="shared" si="4"/>
        <v/>
      </c>
      <c r="V26" s="15"/>
      <c r="W26" s="15"/>
    </row>
    <row r="27">
      <c r="A27" s="39"/>
      <c r="B27" s="39">
        <v>46133.0</v>
      </c>
      <c r="C27" s="75"/>
      <c r="D27" s="75"/>
      <c r="E27" s="75"/>
      <c r="F27" s="75"/>
      <c r="G27" s="56" t="str">
        <f t="shared" si="1"/>
        <v/>
      </c>
      <c r="H27" s="76" t="str">
        <f t="shared" si="2"/>
        <v/>
      </c>
      <c r="I27" s="77">
        <f t="shared" si="3"/>
        <v>0</v>
      </c>
      <c r="J27" s="41" t="str">
        <f t="shared" si="4"/>
        <v/>
      </c>
      <c r="V27" s="15"/>
      <c r="W27" s="15"/>
    </row>
    <row r="28">
      <c r="A28" s="39"/>
      <c r="B28" s="39">
        <v>46134.0</v>
      </c>
      <c r="C28" s="75"/>
      <c r="D28" s="56"/>
      <c r="E28" s="56"/>
      <c r="F28" s="75"/>
      <c r="G28" s="56" t="str">
        <f t="shared" si="1"/>
        <v/>
      </c>
      <c r="H28" s="104" t="str">
        <f t="shared" si="2"/>
        <v/>
      </c>
      <c r="I28" s="77">
        <f t="shared" si="3"/>
        <v>0</v>
      </c>
      <c r="J28" s="41" t="str">
        <f t="shared" si="4"/>
        <v/>
      </c>
      <c r="N28" s="1"/>
      <c r="V28" s="15"/>
      <c r="W28" s="15"/>
    </row>
    <row r="29">
      <c r="A29" s="39"/>
      <c r="B29" s="39">
        <v>46135.0</v>
      </c>
      <c r="C29" s="75"/>
      <c r="D29" s="56"/>
      <c r="E29" s="56"/>
      <c r="F29" s="75"/>
      <c r="G29" s="56" t="str">
        <f t="shared" si="1"/>
        <v/>
      </c>
      <c r="H29" s="104" t="str">
        <f t="shared" si="2"/>
        <v/>
      </c>
      <c r="I29" s="77">
        <f t="shared" si="3"/>
        <v>0</v>
      </c>
      <c r="J29" s="41" t="str">
        <f t="shared" si="4"/>
        <v/>
      </c>
      <c r="V29" s="15"/>
      <c r="W29" s="15"/>
    </row>
    <row r="30">
      <c r="A30" s="39"/>
      <c r="B30" s="39">
        <v>46136.0</v>
      </c>
      <c r="C30" s="56"/>
      <c r="D30" s="56"/>
      <c r="E30" s="56"/>
      <c r="F30" s="56"/>
      <c r="G30" s="56" t="str">
        <f t="shared" si="1"/>
        <v/>
      </c>
      <c r="H30" s="104" t="str">
        <f t="shared" si="2"/>
        <v/>
      </c>
      <c r="I30" s="77">
        <f t="shared" si="3"/>
        <v>0</v>
      </c>
      <c r="J30" s="41" t="str">
        <f t="shared" si="4"/>
        <v/>
      </c>
      <c r="V30" s="15"/>
      <c r="W30" s="15"/>
    </row>
    <row r="31">
      <c r="A31" s="39"/>
      <c r="B31" s="39">
        <v>46137.0</v>
      </c>
      <c r="C31" s="56"/>
      <c r="D31" s="56"/>
      <c r="E31" s="56"/>
      <c r="F31" s="56"/>
      <c r="G31" s="56" t="str">
        <f t="shared" si="1"/>
        <v/>
      </c>
      <c r="H31" s="104" t="str">
        <f t="shared" si="2"/>
        <v/>
      </c>
      <c r="I31" s="77">
        <f t="shared" si="3"/>
        <v>0</v>
      </c>
      <c r="J31" s="41" t="str">
        <f t="shared" si="4"/>
        <v/>
      </c>
      <c r="V31" s="15"/>
      <c r="W31" s="15"/>
    </row>
    <row r="32">
      <c r="A32" s="39"/>
      <c r="B32" s="39">
        <v>46138.0</v>
      </c>
      <c r="C32" s="56"/>
      <c r="D32" s="56"/>
      <c r="E32" s="56"/>
      <c r="F32" s="56"/>
      <c r="G32" s="56" t="str">
        <f t="shared" si="1"/>
        <v/>
      </c>
      <c r="H32" s="104" t="str">
        <f t="shared" si="2"/>
        <v/>
      </c>
      <c r="I32" s="77">
        <f t="shared" si="3"/>
        <v>0</v>
      </c>
      <c r="J32" s="41" t="str">
        <f t="shared" si="4"/>
        <v/>
      </c>
      <c r="V32" s="15"/>
      <c r="W32" s="15"/>
    </row>
    <row r="33">
      <c r="A33" s="39"/>
      <c r="B33" s="39">
        <v>46139.0</v>
      </c>
      <c r="C33" s="56"/>
      <c r="D33" s="56"/>
      <c r="E33" s="56"/>
      <c r="F33" s="56"/>
      <c r="G33" s="56" t="str">
        <f t="shared" si="1"/>
        <v/>
      </c>
      <c r="H33" s="104" t="str">
        <f t="shared" si="2"/>
        <v/>
      </c>
      <c r="I33" s="77">
        <f t="shared" si="3"/>
        <v>0</v>
      </c>
      <c r="J33" s="41" t="str">
        <f t="shared" si="4"/>
        <v/>
      </c>
      <c r="V33" s="15"/>
      <c r="W33" s="15"/>
    </row>
    <row r="34">
      <c r="A34" s="39"/>
      <c r="B34" s="39">
        <v>46140.0</v>
      </c>
      <c r="C34" s="56"/>
      <c r="D34" s="56"/>
      <c r="E34" s="56"/>
      <c r="F34" s="56"/>
      <c r="G34" s="56" t="str">
        <f t="shared" si="1"/>
        <v/>
      </c>
      <c r="H34" s="104" t="str">
        <f t="shared" si="2"/>
        <v/>
      </c>
      <c r="I34" s="77">
        <f t="shared" si="3"/>
        <v>0</v>
      </c>
      <c r="J34" s="41" t="str">
        <f t="shared" si="4"/>
        <v/>
      </c>
      <c r="V34" s="15"/>
      <c r="W34" s="15"/>
    </row>
    <row r="35">
      <c r="B35" s="39">
        <v>46141.0</v>
      </c>
      <c r="G35" s="56" t="str">
        <f t="shared" si="1"/>
        <v/>
      </c>
      <c r="H35" s="104" t="str">
        <f t="shared" si="2"/>
        <v/>
      </c>
      <c r="I35" s="77">
        <f t="shared" si="3"/>
        <v>0</v>
      </c>
      <c r="J35" s="41" t="str">
        <f t="shared" si="4"/>
        <v/>
      </c>
      <c r="V35" s="15"/>
      <c r="W35" s="15"/>
    </row>
    <row r="36">
      <c r="B36" s="39">
        <v>46142.0</v>
      </c>
      <c r="G36" s="56" t="str">
        <f t="shared" si="1"/>
        <v/>
      </c>
      <c r="H36" s="104" t="str">
        <f t="shared" si="2"/>
        <v/>
      </c>
      <c r="I36" s="77">
        <f t="shared" si="3"/>
        <v>0</v>
      </c>
      <c r="J36" s="41" t="str">
        <f t="shared" si="4"/>
        <v/>
      </c>
      <c r="V36" s="15"/>
      <c r="W36" s="15"/>
    </row>
    <row r="37">
      <c r="B37" s="39"/>
      <c r="J37" s="15"/>
      <c r="V37" s="15"/>
      <c r="W37" s="15"/>
    </row>
    <row r="38">
      <c r="J38" s="15"/>
      <c r="V38" s="15"/>
      <c r="W38" s="15"/>
    </row>
    <row r="39">
      <c r="J39" s="15"/>
      <c r="V39" s="15"/>
      <c r="W39" s="15"/>
    </row>
    <row r="40">
      <c r="J40" s="15"/>
      <c r="V40" s="15"/>
      <c r="W40" s="15"/>
    </row>
    <row r="41">
      <c r="J41" s="15"/>
      <c r="V41" s="15"/>
      <c r="W41" s="15"/>
    </row>
    <row r="42">
      <c r="J42" s="15"/>
      <c r="V42" s="15"/>
      <c r="W42" s="15"/>
    </row>
    <row r="43">
      <c r="J43" s="15"/>
      <c r="V43" s="15"/>
      <c r="W43" s="15"/>
    </row>
    <row r="44">
      <c r="J44" s="15"/>
      <c r="V44" s="15"/>
      <c r="W44" s="15"/>
    </row>
    <row r="45">
      <c r="J45" s="15"/>
      <c r="V45" s="15"/>
      <c r="W45" s="15"/>
    </row>
    <row r="46">
      <c r="J46" s="15"/>
      <c r="V46" s="15"/>
      <c r="W46" s="15"/>
    </row>
    <row r="47">
      <c r="J47" s="15"/>
      <c r="V47" s="15"/>
      <c r="W47" s="15"/>
    </row>
    <row r="48">
      <c r="J48" s="15"/>
      <c r="V48" s="15"/>
      <c r="W48" s="15"/>
    </row>
    <row r="49">
      <c r="J49" s="15"/>
      <c r="V49" s="15"/>
      <c r="W49" s="15"/>
    </row>
    <row r="50">
      <c r="J50" s="15"/>
      <c r="V50" s="15"/>
      <c r="W50" s="15"/>
    </row>
    <row r="51">
      <c r="J51" s="15"/>
      <c r="V51" s="15"/>
      <c r="W51" s="15"/>
    </row>
    <row r="52">
      <c r="J52" s="15"/>
      <c r="V52" s="15"/>
      <c r="W52" s="15"/>
    </row>
    <row r="53">
      <c r="J53" s="15"/>
      <c r="V53" s="15"/>
      <c r="W53" s="15"/>
    </row>
    <row r="54">
      <c r="J54" s="15"/>
      <c r="V54" s="15"/>
      <c r="W54" s="15"/>
    </row>
    <row r="55">
      <c r="J55" s="15"/>
      <c r="V55" s="15"/>
      <c r="W55" s="15"/>
    </row>
    <row r="56">
      <c r="J56" s="15"/>
      <c r="V56" s="15"/>
      <c r="W56" s="15"/>
    </row>
    <row r="57">
      <c r="J57" s="15"/>
      <c r="V57" s="15"/>
      <c r="W57" s="15"/>
    </row>
    <row r="58">
      <c r="J58" s="15"/>
      <c r="V58" s="15"/>
      <c r="W58" s="15"/>
    </row>
    <row r="59">
      <c r="J59" s="15"/>
      <c r="V59" s="15"/>
      <c r="W59" s="15"/>
    </row>
    <row r="60">
      <c r="J60" s="15"/>
      <c r="V60" s="15"/>
      <c r="W60" s="15"/>
    </row>
    <row r="61">
      <c r="J61" s="15"/>
      <c r="V61" s="15"/>
      <c r="W61" s="15"/>
    </row>
    <row r="62">
      <c r="J62" s="15"/>
      <c r="V62" s="15"/>
      <c r="W62" s="15"/>
    </row>
    <row r="63">
      <c r="J63" s="15"/>
      <c r="V63" s="15"/>
      <c r="W63" s="15"/>
    </row>
    <row r="64">
      <c r="J64" s="15"/>
      <c r="V64" s="15"/>
      <c r="W64" s="15"/>
    </row>
    <row r="65">
      <c r="J65" s="15"/>
      <c r="V65" s="15"/>
      <c r="W65" s="15"/>
    </row>
    <row r="66">
      <c r="J66" s="15"/>
      <c r="V66" s="15"/>
      <c r="W66" s="15"/>
    </row>
    <row r="67">
      <c r="J67" s="15"/>
      <c r="V67" s="15"/>
      <c r="W67" s="15"/>
    </row>
    <row r="68">
      <c r="J68" s="15"/>
      <c r="V68" s="15"/>
      <c r="W68" s="15"/>
    </row>
    <row r="69">
      <c r="J69" s="15"/>
      <c r="V69" s="15"/>
      <c r="W69" s="15"/>
    </row>
    <row r="70">
      <c r="J70" s="15"/>
      <c r="V70" s="15"/>
      <c r="W70" s="15"/>
    </row>
    <row r="71">
      <c r="J71" s="15"/>
      <c r="V71" s="15"/>
      <c r="W71" s="15"/>
    </row>
    <row r="72">
      <c r="J72" s="15"/>
      <c r="V72" s="15"/>
      <c r="W72" s="15"/>
    </row>
    <row r="73">
      <c r="J73" s="15"/>
      <c r="V73" s="15"/>
      <c r="W73" s="15"/>
    </row>
    <row r="74">
      <c r="J74" s="15"/>
      <c r="V74" s="15"/>
      <c r="W74" s="15"/>
    </row>
    <row r="75">
      <c r="J75" s="15"/>
      <c r="V75" s="15"/>
      <c r="W75" s="15"/>
    </row>
    <row r="76">
      <c r="J76" s="15"/>
      <c r="V76" s="15"/>
      <c r="W76" s="15"/>
    </row>
    <row r="77">
      <c r="J77" s="15"/>
      <c r="V77" s="15"/>
      <c r="W77" s="15"/>
    </row>
    <row r="78">
      <c r="J78" s="15"/>
      <c r="V78" s="15"/>
      <c r="W78" s="15"/>
    </row>
    <row r="79">
      <c r="J79" s="15"/>
      <c r="V79" s="15"/>
      <c r="W79" s="15"/>
    </row>
    <row r="80">
      <c r="J80" s="15"/>
      <c r="V80" s="15"/>
      <c r="W80" s="15"/>
    </row>
    <row r="81">
      <c r="J81" s="15"/>
      <c r="V81" s="15"/>
      <c r="W81" s="15"/>
    </row>
    <row r="82">
      <c r="J82" s="15"/>
      <c r="V82" s="15"/>
      <c r="W82" s="15"/>
    </row>
    <row r="83">
      <c r="J83" s="15"/>
      <c r="V83" s="15"/>
      <c r="W83" s="15"/>
    </row>
    <row r="84">
      <c r="J84" s="15"/>
      <c r="V84" s="15"/>
      <c r="W84" s="15"/>
    </row>
    <row r="85">
      <c r="J85" s="15"/>
      <c r="V85" s="15"/>
      <c r="W85" s="15"/>
    </row>
    <row r="86">
      <c r="J86" s="15"/>
      <c r="V86" s="15"/>
      <c r="W86" s="15"/>
    </row>
    <row r="87">
      <c r="J87" s="15"/>
      <c r="V87" s="15"/>
      <c r="W87" s="15"/>
    </row>
    <row r="88">
      <c r="J88" s="15"/>
      <c r="V88" s="15"/>
      <c r="W88" s="15"/>
    </row>
    <row r="89">
      <c r="J89" s="15"/>
      <c r="V89" s="15"/>
      <c r="W89" s="15"/>
    </row>
    <row r="90">
      <c r="J90" s="15"/>
      <c r="V90" s="15"/>
      <c r="W90" s="15"/>
    </row>
    <row r="91">
      <c r="J91" s="15"/>
      <c r="V91" s="15"/>
      <c r="W91" s="15"/>
    </row>
    <row r="92">
      <c r="J92" s="15"/>
      <c r="V92" s="15"/>
      <c r="W92" s="15"/>
    </row>
    <row r="93">
      <c r="J93" s="15"/>
      <c r="V93" s="15"/>
      <c r="W93" s="15"/>
    </row>
    <row r="94">
      <c r="J94" s="15"/>
      <c r="V94" s="15"/>
      <c r="W94" s="15"/>
    </row>
    <row r="95">
      <c r="J95" s="15"/>
      <c r="V95" s="15"/>
      <c r="W95" s="15"/>
    </row>
    <row r="96">
      <c r="J96" s="15"/>
      <c r="V96" s="15"/>
      <c r="W96" s="15"/>
    </row>
    <row r="97">
      <c r="J97" s="15"/>
      <c r="V97" s="15"/>
      <c r="W97" s="15"/>
    </row>
    <row r="98">
      <c r="J98" s="15"/>
      <c r="V98" s="15"/>
      <c r="W98" s="15"/>
    </row>
    <row r="99">
      <c r="J99" s="15"/>
      <c r="V99" s="15"/>
      <c r="W99" s="15"/>
    </row>
    <row r="100">
      <c r="J100" s="15"/>
      <c r="V100" s="15"/>
      <c r="W100" s="15"/>
    </row>
    <row r="101">
      <c r="J101" s="15"/>
      <c r="V101" s="15"/>
      <c r="W101" s="15"/>
    </row>
    <row r="102">
      <c r="J102" s="15"/>
      <c r="V102" s="15"/>
      <c r="W102" s="15"/>
    </row>
    <row r="103">
      <c r="J103" s="15"/>
      <c r="V103" s="15"/>
      <c r="W103" s="15"/>
    </row>
    <row r="104">
      <c r="J104" s="15"/>
      <c r="V104" s="15"/>
      <c r="W104" s="15"/>
    </row>
    <row r="105">
      <c r="J105" s="15"/>
      <c r="V105" s="15"/>
      <c r="W105" s="15"/>
    </row>
    <row r="106">
      <c r="J106" s="15"/>
      <c r="V106" s="15"/>
      <c r="W106" s="15"/>
    </row>
    <row r="107">
      <c r="J107" s="15"/>
      <c r="V107" s="15"/>
      <c r="W107" s="15"/>
    </row>
    <row r="108">
      <c r="J108" s="15"/>
      <c r="V108" s="15"/>
      <c r="W108" s="15"/>
    </row>
    <row r="109">
      <c r="J109" s="15"/>
      <c r="V109" s="15"/>
      <c r="W109" s="15"/>
    </row>
    <row r="110">
      <c r="J110" s="15"/>
      <c r="V110" s="15"/>
      <c r="W110" s="15"/>
    </row>
    <row r="111">
      <c r="J111" s="15"/>
      <c r="V111" s="15"/>
      <c r="W111" s="15"/>
    </row>
    <row r="112">
      <c r="J112" s="15"/>
      <c r="V112" s="15"/>
      <c r="W112" s="15"/>
    </row>
    <row r="113">
      <c r="J113" s="15"/>
      <c r="V113" s="15"/>
      <c r="W113" s="15"/>
    </row>
    <row r="114">
      <c r="J114" s="15"/>
      <c r="V114" s="15"/>
      <c r="W114" s="15"/>
    </row>
    <row r="115">
      <c r="J115" s="15"/>
      <c r="V115" s="15"/>
      <c r="W115" s="15"/>
    </row>
    <row r="116">
      <c r="J116" s="15"/>
      <c r="V116" s="15"/>
      <c r="W116" s="15"/>
    </row>
    <row r="117">
      <c r="J117" s="15"/>
      <c r="V117" s="15"/>
      <c r="W117" s="15"/>
    </row>
    <row r="118">
      <c r="J118" s="15"/>
      <c r="V118" s="15"/>
      <c r="W118" s="15"/>
    </row>
    <row r="119">
      <c r="J119" s="15"/>
      <c r="V119" s="15"/>
      <c r="W119" s="15"/>
    </row>
    <row r="120">
      <c r="J120" s="15"/>
      <c r="V120" s="15"/>
      <c r="W120" s="15"/>
    </row>
    <row r="121">
      <c r="J121" s="15"/>
      <c r="V121" s="15"/>
      <c r="W121" s="15"/>
    </row>
    <row r="122">
      <c r="J122" s="15"/>
      <c r="V122" s="15"/>
      <c r="W122" s="15"/>
    </row>
    <row r="123">
      <c r="J123" s="15"/>
      <c r="V123" s="15"/>
      <c r="W123" s="15"/>
    </row>
    <row r="124">
      <c r="J124" s="15"/>
      <c r="V124" s="15"/>
      <c r="W124" s="15"/>
    </row>
    <row r="125">
      <c r="J125" s="15"/>
      <c r="V125" s="15"/>
      <c r="W125" s="15"/>
    </row>
    <row r="126">
      <c r="J126" s="15"/>
      <c r="V126" s="15"/>
      <c r="W126" s="15"/>
    </row>
    <row r="127">
      <c r="J127" s="15"/>
      <c r="V127" s="15"/>
      <c r="W127" s="15"/>
    </row>
    <row r="128">
      <c r="J128" s="15"/>
      <c r="V128" s="15"/>
      <c r="W128" s="15"/>
    </row>
    <row r="129">
      <c r="J129" s="15"/>
      <c r="V129" s="15"/>
      <c r="W129" s="15"/>
    </row>
    <row r="130">
      <c r="J130" s="15"/>
      <c r="V130" s="15"/>
      <c r="W130" s="15"/>
    </row>
    <row r="131">
      <c r="J131" s="15"/>
      <c r="V131" s="15"/>
      <c r="W131" s="15"/>
    </row>
    <row r="132">
      <c r="J132" s="15"/>
      <c r="V132" s="15"/>
      <c r="W132" s="15"/>
    </row>
    <row r="133">
      <c r="J133" s="15"/>
      <c r="V133" s="15"/>
      <c r="W133" s="15"/>
    </row>
    <row r="134">
      <c r="J134" s="15"/>
      <c r="V134" s="15"/>
      <c r="W134" s="15"/>
    </row>
    <row r="135">
      <c r="J135" s="15"/>
      <c r="V135" s="15"/>
      <c r="W135" s="15"/>
    </row>
    <row r="136">
      <c r="J136" s="15"/>
      <c r="V136" s="15"/>
      <c r="W136" s="15"/>
    </row>
    <row r="137">
      <c r="J137" s="15"/>
      <c r="V137" s="15"/>
      <c r="W137" s="15"/>
    </row>
    <row r="138">
      <c r="J138" s="15"/>
      <c r="V138" s="15"/>
      <c r="W138" s="15"/>
    </row>
    <row r="139">
      <c r="J139" s="15"/>
      <c r="V139" s="15"/>
      <c r="W139" s="15"/>
    </row>
    <row r="140">
      <c r="J140" s="15"/>
      <c r="V140" s="15"/>
      <c r="W140" s="15"/>
    </row>
    <row r="141">
      <c r="J141" s="15"/>
      <c r="V141" s="15"/>
      <c r="W141" s="15"/>
    </row>
    <row r="142">
      <c r="J142" s="15"/>
      <c r="V142" s="15"/>
      <c r="W142" s="15"/>
    </row>
    <row r="143">
      <c r="J143" s="15"/>
      <c r="V143" s="15"/>
      <c r="W143" s="15"/>
    </row>
    <row r="144">
      <c r="J144" s="15"/>
      <c r="V144" s="15"/>
      <c r="W144" s="15"/>
    </row>
    <row r="145">
      <c r="J145" s="15"/>
      <c r="V145" s="15"/>
      <c r="W145" s="15"/>
    </row>
    <row r="146">
      <c r="J146" s="15"/>
      <c r="V146" s="15"/>
      <c r="W146" s="15"/>
    </row>
    <row r="147">
      <c r="J147" s="15"/>
      <c r="V147" s="15"/>
      <c r="W147" s="15"/>
    </row>
    <row r="148">
      <c r="J148" s="15"/>
      <c r="V148" s="15"/>
      <c r="W148" s="15"/>
    </row>
    <row r="149">
      <c r="J149" s="15"/>
      <c r="V149" s="15"/>
      <c r="W149" s="15"/>
    </row>
    <row r="150">
      <c r="J150" s="15"/>
      <c r="V150" s="15"/>
      <c r="W150" s="15"/>
    </row>
    <row r="151">
      <c r="J151" s="15"/>
      <c r="V151" s="15"/>
      <c r="W151" s="15"/>
    </row>
    <row r="152">
      <c r="J152" s="15"/>
      <c r="V152" s="15"/>
      <c r="W152" s="15"/>
    </row>
    <row r="153">
      <c r="J153" s="15"/>
      <c r="V153" s="15"/>
      <c r="W153" s="15"/>
    </row>
    <row r="154">
      <c r="J154" s="15"/>
      <c r="V154" s="15"/>
      <c r="W154" s="15"/>
    </row>
    <row r="155">
      <c r="J155" s="15"/>
      <c r="V155" s="15"/>
      <c r="W155" s="15"/>
    </row>
    <row r="156">
      <c r="J156" s="15"/>
      <c r="V156" s="15"/>
      <c r="W156" s="15"/>
    </row>
    <row r="157">
      <c r="J157" s="15"/>
      <c r="V157" s="15"/>
      <c r="W157" s="15"/>
    </row>
    <row r="158">
      <c r="J158" s="15"/>
      <c r="V158" s="15"/>
      <c r="W158" s="15"/>
    </row>
    <row r="159">
      <c r="J159" s="15"/>
      <c r="V159" s="15"/>
      <c r="W159" s="15"/>
    </row>
    <row r="160">
      <c r="J160" s="15"/>
      <c r="V160" s="15"/>
      <c r="W160" s="15"/>
    </row>
    <row r="161">
      <c r="J161" s="15"/>
      <c r="V161" s="15"/>
      <c r="W161" s="15"/>
    </row>
    <row r="162">
      <c r="J162" s="15"/>
      <c r="V162" s="15"/>
      <c r="W162" s="15"/>
    </row>
    <row r="163">
      <c r="J163" s="15"/>
      <c r="V163" s="15"/>
      <c r="W163" s="15"/>
    </row>
    <row r="164">
      <c r="J164" s="15"/>
      <c r="V164" s="15"/>
      <c r="W164" s="15"/>
    </row>
    <row r="165">
      <c r="J165" s="15"/>
      <c r="V165" s="15"/>
      <c r="W165" s="15"/>
    </row>
    <row r="166">
      <c r="J166" s="15"/>
      <c r="V166" s="15"/>
      <c r="W166" s="15"/>
    </row>
    <row r="167">
      <c r="J167" s="15"/>
      <c r="V167" s="15"/>
      <c r="W167" s="15"/>
    </row>
    <row r="168">
      <c r="J168" s="15"/>
      <c r="V168" s="15"/>
      <c r="W168" s="15"/>
    </row>
    <row r="169">
      <c r="J169" s="15"/>
      <c r="V169" s="15"/>
      <c r="W169" s="15"/>
    </row>
    <row r="170">
      <c r="J170" s="15"/>
      <c r="V170" s="15"/>
      <c r="W170" s="15"/>
    </row>
    <row r="171">
      <c r="J171" s="15"/>
      <c r="V171" s="15"/>
      <c r="W171" s="15"/>
    </row>
    <row r="172">
      <c r="J172" s="15"/>
      <c r="V172" s="15"/>
      <c r="W172" s="15"/>
    </row>
    <row r="173">
      <c r="J173" s="15"/>
      <c r="V173" s="15"/>
      <c r="W173" s="15"/>
    </row>
    <row r="174">
      <c r="J174" s="15"/>
      <c r="V174" s="15"/>
      <c r="W174" s="15"/>
    </row>
    <row r="175">
      <c r="J175" s="15"/>
      <c r="V175" s="15"/>
      <c r="W175" s="15"/>
    </row>
    <row r="176">
      <c r="J176" s="15"/>
      <c r="V176" s="15"/>
      <c r="W176" s="15"/>
    </row>
    <row r="177">
      <c r="J177" s="15"/>
      <c r="V177" s="15"/>
      <c r="W177" s="15"/>
    </row>
    <row r="178">
      <c r="J178" s="15"/>
      <c r="V178" s="15"/>
      <c r="W178" s="15"/>
    </row>
    <row r="179">
      <c r="J179" s="15"/>
      <c r="V179" s="15"/>
      <c r="W179" s="15"/>
    </row>
    <row r="180">
      <c r="J180" s="15"/>
      <c r="V180" s="15"/>
      <c r="W180" s="15"/>
    </row>
    <row r="181">
      <c r="J181" s="15"/>
      <c r="V181" s="15"/>
      <c r="W181" s="15"/>
    </row>
    <row r="182">
      <c r="J182" s="15"/>
      <c r="V182" s="15"/>
      <c r="W182" s="15"/>
    </row>
    <row r="183">
      <c r="J183" s="15"/>
      <c r="V183" s="15"/>
      <c r="W183" s="15"/>
    </row>
    <row r="184">
      <c r="J184" s="15"/>
      <c r="V184" s="15"/>
      <c r="W184" s="15"/>
    </row>
    <row r="185">
      <c r="J185" s="15"/>
      <c r="V185" s="15"/>
      <c r="W185" s="15"/>
    </row>
    <row r="186">
      <c r="J186" s="15"/>
      <c r="V186" s="15"/>
      <c r="W186" s="15"/>
    </row>
    <row r="187">
      <c r="J187" s="15"/>
      <c r="V187" s="15"/>
      <c r="W187" s="15"/>
    </row>
    <row r="188">
      <c r="J188" s="15"/>
      <c r="V188" s="15"/>
      <c r="W188" s="15"/>
    </row>
    <row r="189">
      <c r="J189" s="15"/>
      <c r="V189" s="15"/>
      <c r="W189" s="15"/>
    </row>
    <row r="190">
      <c r="J190" s="15"/>
      <c r="V190" s="15"/>
      <c r="W190" s="15"/>
    </row>
    <row r="191">
      <c r="J191" s="15"/>
      <c r="V191" s="15"/>
      <c r="W191" s="15"/>
    </row>
    <row r="192">
      <c r="J192" s="15"/>
      <c r="V192" s="15"/>
      <c r="W192" s="15"/>
    </row>
    <row r="193">
      <c r="J193" s="15"/>
      <c r="V193" s="15"/>
      <c r="W193" s="15"/>
    </row>
    <row r="194">
      <c r="J194" s="15"/>
      <c r="V194" s="15"/>
      <c r="W194" s="15"/>
    </row>
    <row r="195">
      <c r="J195" s="15"/>
      <c r="V195" s="15"/>
      <c r="W195" s="15"/>
    </row>
    <row r="196">
      <c r="J196" s="15"/>
      <c r="V196" s="15"/>
      <c r="W196" s="15"/>
    </row>
    <row r="197">
      <c r="J197" s="15"/>
      <c r="V197" s="15"/>
      <c r="W197" s="15"/>
    </row>
    <row r="198">
      <c r="J198" s="15"/>
      <c r="V198" s="15"/>
      <c r="W198" s="15"/>
    </row>
    <row r="199">
      <c r="J199" s="15"/>
      <c r="V199" s="15"/>
      <c r="W199" s="15"/>
    </row>
    <row r="200">
      <c r="J200" s="15"/>
      <c r="V200" s="15"/>
      <c r="W200" s="15"/>
    </row>
    <row r="201">
      <c r="J201" s="15"/>
      <c r="V201" s="15"/>
      <c r="W201" s="15"/>
    </row>
    <row r="202">
      <c r="J202" s="15"/>
      <c r="V202" s="15"/>
      <c r="W202" s="15"/>
    </row>
    <row r="203">
      <c r="J203" s="15"/>
      <c r="V203" s="15"/>
      <c r="W203" s="15"/>
    </row>
    <row r="204">
      <c r="J204" s="15"/>
      <c r="V204" s="15"/>
      <c r="W204" s="15"/>
    </row>
    <row r="205">
      <c r="J205" s="15"/>
      <c r="V205" s="15"/>
      <c r="W205" s="15"/>
    </row>
    <row r="206">
      <c r="J206" s="15"/>
      <c r="V206" s="15"/>
      <c r="W206" s="15"/>
    </row>
    <row r="207">
      <c r="J207" s="15"/>
      <c r="V207" s="15"/>
      <c r="W207" s="15"/>
    </row>
    <row r="208">
      <c r="J208" s="15"/>
      <c r="V208" s="15"/>
      <c r="W208" s="15"/>
    </row>
    <row r="209">
      <c r="J209" s="15"/>
      <c r="V209" s="15"/>
      <c r="W209" s="15"/>
    </row>
    <row r="210">
      <c r="J210" s="15"/>
      <c r="V210" s="15"/>
      <c r="W210" s="15"/>
    </row>
    <row r="211">
      <c r="J211" s="15"/>
      <c r="V211" s="15"/>
      <c r="W211" s="15"/>
    </row>
    <row r="212">
      <c r="J212" s="15"/>
      <c r="V212" s="15"/>
      <c r="W212" s="15"/>
    </row>
    <row r="213">
      <c r="J213" s="15"/>
      <c r="V213" s="15"/>
      <c r="W213" s="15"/>
    </row>
    <row r="214">
      <c r="J214" s="15"/>
      <c r="V214" s="15"/>
      <c r="W214" s="15"/>
    </row>
    <row r="215">
      <c r="J215" s="15"/>
      <c r="V215" s="15"/>
      <c r="W215" s="15"/>
    </row>
    <row r="216">
      <c r="J216" s="15"/>
      <c r="V216" s="15"/>
      <c r="W216" s="15"/>
    </row>
    <row r="217">
      <c r="J217" s="15"/>
      <c r="V217" s="15"/>
      <c r="W217" s="15"/>
    </row>
    <row r="218">
      <c r="J218" s="15"/>
      <c r="V218" s="15"/>
      <c r="W218" s="15"/>
    </row>
    <row r="219">
      <c r="J219" s="15"/>
      <c r="V219" s="15"/>
      <c r="W219" s="15"/>
    </row>
    <row r="220">
      <c r="J220" s="15"/>
      <c r="V220" s="15"/>
      <c r="W220" s="15"/>
    </row>
    <row r="221">
      <c r="J221" s="15"/>
      <c r="V221" s="15"/>
      <c r="W221" s="15"/>
    </row>
    <row r="222">
      <c r="J222" s="15"/>
      <c r="V222" s="15"/>
      <c r="W222" s="15"/>
    </row>
    <row r="223">
      <c r="J223" s="15"/>
      <c r="V223" s="15"/>
      <c r="W223" s="15"/>
    </row>
    <row r="224">
      <c r="J224" s="15"/>
      <c r="V224" s="15"/>
      <c r="W224" s="15"/>
    </row>
    <row r="225">
      <c r="J225" s="15"/>
      <c r="V225" s="15"/>
      <c r="W225" s="15"/>
    </row>
    <row r="226">
      <c r="J226" s="15"/>
      <c r="V226" s="15"/>
      <c r="W226" s="15"/>
    </row>
    <row r="227">
      <c r="J227" s="15"/>
      <c r="V227" s="15"/>
      <c r="W227" s="15"/>
    </row>
    <row r="228">
      <c r="J228" s="15"/>
      <c r="V228" s="15"/>
      <c r="W228" s="15"/>
    </row>
    <row r="229">
      <c r="J229" s="15"/>
      <c r="V229" s="15"/>
      <c r="W229" s="15"/>
    </row>
    <row r="230">
      <c r="J230" s="15"/>
      <c r="V230" s="15"/>
      <c r="W230" s="15"/>
    </row>
    <row r="231">
      <c r="J231" s="15"/>
      <c r="V231" s="15"/>
      <c r="W231" s="15"/>
    </row>
    <row r="232">
      <c r="J232" s="15"/>
      <c r="V232" s="15"/>
      <c r="W232" s="15"/>
    </row>
    <row r="233">
      <c r="J233" s="15"/>
      <c r="V233" s="15"/>
      <c r="W233" s="15"/>
    </row>
    <row r="234">
      <c r="J234" s="15"/>
      <c r="V234" s="15"/>
      <c r="W234" s="15"/>
    </row>
    <row r="235">
      <c r="J235" s="15"/>
      <c r="V235" s="15"/>
      <c r="W235" s="15"/>
    </row>
    <row r="236">
      <c r="J236" s="15"/>
      <c r="V236" s="15"/>
      <c r="W236" s="15"/>
    </row>
    <row r="237">
      <c r="J237" s="15"/>
      <c r="V237" s="15"/>
      <c r="W237" s="15"/>
    </row>
    <row r="238">
      <c r="J238" s="15"/>
      <c r="V238" s="15"/>
      <c r="W238" s="15"/>
    </row>
    <row r="239">
      <c r="J239" s="15"/>
      <c r="V239" s="15"/>
      <c r="W239" s="15"/>
    </row>
    <row r="240">
      <c r="J240" s="15"/>
      <c r="V240" s="15"/>
      <c r="W240" s="15"/>
    </row>
    <row r="241">
      <c r="J241" s="15"/>
      <c r="V241" s="15"/>
      <c r="W241" s="15"/>
    </row>
    <row r="242">
      <c r="J242" s="15"/>
      <c r="V242" s="15"/>
      <c r="W242" s="15"/>
    </row>
    <row r="243">
      <c r="J243" s="15"/>
      <c r="V243" s="15"/>
      <c r="W243" s="15"/>
    </row>
    <row r="244">
      <c r="J244" s="15"/>
      <c r="V244" s="15"/>
      <c r="W244" s="15"/>
    </row>
    <row r="245">
      <c r="J245" s="15"/>
      <c r="V245" s="15"/>
      <c r="W245" s="15"/>
    </row>
    <row r="246">
      <c r="J246" s="15"/>
      <c r="V246" s="15"/>
      <c r="W246" s="15"/>
    </row>
    <row r="247">
      <c r="J247" s="15"/>
      <c r="V247" s="15"/>
      <c r="W247" s="15"/>
    </row>
    <row r="248">
      <c r="J248" s="15"/>
      <c r="V248" s="15"/>
      <c r="W248" s="15"/>
    </row>
    <row r="249">
      <c r="J249" s="15"/>
      <c r="V249" s="15"/>
      <c r="W249" s="15"/>
    </row>
    <row r="250">
      <c r="J250" s="15"/>
      <c r="V250" s="15"/>
      <c r="W250" s="15"/>
    </row>
    <row r="251">
      <c r="J251" s="15"/>
      <c r="V251" s="15"/>
      <c r="W251" s="15"/>
    </row>
    <row r="252">
      <c r="J252" s="15"/>
      <c r="V252" s="15"/>
      <c r="W252" s="15"/>
    </row>
    <row r="253">
      <c r="J253" s="15"/>
      <c r="V253" s="15"/>
      <c r="W253" s="15"/>
    </row>
    <row r="254">
      <c r="J254" s="15"/>
      <c r="V254" s="15"/>
      <c r="W254" s="15"/>
    </row>
    <row r="255">
      <c r="J255" s="15"/>
      <c r="V255" s="15"/>
      <c r="W255" s="15"/>
    </row>
    <row r="256">
      <c r="J256" s="15"/>
      <c r="V256" s="15"/>
      <c r="W256" s="15"/>
    </row>
    <row r="257">
      <c r="J257" s="15"/>
      <c r="V257" s="15"/>
      <c r="W257" s="15"/>
    </row>
    <row r="258">
      <c r="J258" s="15"/>
      <c r="V258" s="15"/>
      <c r="W258" s="15"/>
    </row>
    <row r="259">
      <c r="J259" s="15"/>
      <c r="V259" s="15"/>
      <c r="W259" s="15"/>
    </row>
    <row r="260">
      <c r="J260" s="15"/>
      <c r="V260" s="15"/>
      <c r="W260" s="15"/>
    </row>
    <row r="261">
      <c r="J261" s="15"/>
      <c r="V261" s="15"/>
      <c r="W261" s="15"/>
    </row>
    <row r="262">
      <c r="J262" s="15"/>
      <c r="V262" s="15"/>
      <c r="W262" s="15"/>
    </row>
    <row r="263">
      <c r="J263" s="15"/>
      <c r="V263" s="15"/>
      <c r="W263" s="15"/>
    </row>
    <row r="264">
      <c r="J264" s="15"/>
      <c r="V264" s="15"/>
      <c r="W264" s="15"/>
    </row>
    <row r="265">
      <c r="J265" s="15"/>
      <c r="V265" s="15"/>
      <c r="W265" s="15"/>
    </row>
    <row r="266">
      <c r="J266" s="15"/>
      <c r="V266" s="15"/>
      <c r="W266" s="15"/>
    </row>
    <row r="267">
      <c r="J267" s="15"/>
      <c r="V267" s="15"/>
      <c r="W267" s="15"/>
    </row>
    <row r="268">
      <c r="J268" s="15"/>
      <c r="V268" s="15"/>
      <c r="W268" s="15"/>
    </row>
    <row r="269">
      <c r="J269" s="15"/>
      <c r="V269" s="15"/>
      <c r="W269" s="15"/>
    </row>
    <row r="270">
      <c r="J270" s="15"/>
      <c r="V270" s="15"/>
      <c r="W270" s="15"/>
    </row>
    <row r="271">
      <c r="J271" s="15"/>
      <c r="V271" s="15"/>
      <c r="W271" s="15"/>
    </row>
    <row r="272">
      <c r="J272" s="15"/>
      <c r="V272" s="15"/>
      <c r="W272" s="15"/>
    </row>
    <row r="273">
      <c r="J273" s="15"/>
      <c r="V273" s="15"/>
      <c r="W273" s="15"/>
    </row>
    <row r="274">
      <c r="J274" s="15"/>
      <c r="V274" s="15"/>
      <c r="W274" s="15"/>
    </row>
    <row r="275">
      <c r="J275" s="15"/>
      <c r="V275" s="15"/>
      <c r="W275" s="15"/>
    </row>
    <row r="276">
      <c r="J276" s="15"/>
      <c r="V276" s="15"/>
      <c r="W276" s="15"/>
    </row>
    <row r="277">
      <c r="J277" s="15"/>
      <c r="V277" s="15"/>
      <c r="W277" s="15"/>
    </row>
    <row r="278">
      <c r="J278" s="15"/>
      <c r="V278" s="15"/>
      <c r="W278" s="15"/>
    </row>
    <row r="279">
      <c r="J279" s="15"/>
      <c r="V279" s="15"/>
      <c r="W279" s="15"/>
    </row>
    <row r="280">
      <c r="J280" s="15"/>
      <c r="V280" s="15"/>
      <c r="W280" s="15"/>
    </row>
    <row r="281">
      <c r="J281" s="15"/>
      <c r="V281" s="15"/>
      <c r="W281" s="15"/>
    </row>
    <row r="282">
      <c r="J282" s="15"/>
      <c r="V282" s="15"/>
      <c r="W282" s="15"/>
    </row>
    <row r="283">
      <c r="J283" s="15"/>
      <c r="V283" s="15"/>
      <c r="W283" s="15"/>
    </row>
    <row r="284">
      <c r="J284" s="15"/>
      <c r="V284" s="15"/>
      <c r="W284" s="15"/>
    </row>
    <row r="285">
      <c r="J285" s="15"/>
      <c r="V285" s="15"/>
      <c r="W285" s="15"/>
    </row>
    <row r="286">
      <c r="J286" s="15"/>
      <c r="V286" s="15"/>
      <c r="W286" s="15"/>
    </row>
    <row r="287">
      <c r="J287" s="15"/>
      <c r="V287" s="15"/>
      <c r="W287" s="15"/>
    </row>
    <row r="288">
      <c r="J288" s="15"/>
      <c r="V288" s="15"/>
      <c r="W288" s="15"/>
    </row>
    <row r="289">
      <c r="J289" s="15"/>
      <c r="V289" s="15"/>
      <c r="W289" s="15"/>
    </row>
    <row r="290">
      <c r="J290" s="15"/>
      <c r="V290" s="15"/>
      <c r="W290" s="15"/>
    </row>
    <row r="291">
      <c r="J291" s="15"/>
      <c r="V291" s="15"/>
      <c r="W291" s="15"/>
    </row>
    <row r="292">
      <c r="J292" s="15"/>
      <c r="V292" s="15"/>
      <c r="W292" s="15"/>
    </row>
    <row r="293">
      <c r="J293" s="15"/>
      <c r="V293" s="15"/>
      <c r="W293" s="15"/>
    </row>
    <row r="294">
      <c r="J294" s="15"/>
      <c r="V294" s="15"/>
      <c r="W294" s="15"/>
    </row>
    <row r="295">
      <c r="J295" s="15"/>
      <c r="V295" s="15"/>
      <c r="W295" s="15"/>
    </row>
    <row r="296">
      <c r="J296" s="15"/>
      <c r="V296" s="15"/>
      <c r="W296" s="15"/>
    </row>
    <row r="297">
      <c r="J297" s="15"/>
      <c r="V297" s="15"/>
      <c r="W297" s="15"/>
    </row>
    <row r="298">
      <c r="J298" s="15"/>
      <c r="V298" s="15"/>
      <c r="W298" s="15"/>
    </row>
    <row r="299">
      <c r="J299" s="15"/>
      <c r="V299" s="15"/>
      <c r="W299" s="15"/>
    </row>
    <row r="300">
      <c r="J300" s="15"/>
      <c r="V300" s="15"/>
      <c r="W300" s="15"/>
    </row>
    <row r="301">
      <c r="J301" s="15"/>
      <c r="V301" s="15"/>
      <c r="W301" s="15"/>
    </row>
    <row r="302">
      <c r="J302" s="15"/>
      <c r="V302" s="15"/>
      <c r="W302" s="15"/>
    </row>
    <row r="303">
      <c r="J303" s="15"/>
      <c r="V303" s="15"/>
      <c r="W303" s="15"/>
    </row>
    <row r="304">
      <c r="J304" s="15"/>
      <c r="V304" s="15"/>
      <c r="W304" s="15"/>
    </row>
    <row r="305">
      <c r="J305" s="15"/>
      <c r="V305" s="15"/>
      <c r="W305" s="15"/>
    </row>
    <row r="306">
      <c r="J306" s="15"/>
      <c r="V306" s="15"/>
      <c r="W306" s="15"/>
    </row>
    <row r="307">
      <c r="J307" s="15"/>
      <c r="V307" s="15"/>
      <c r="W307" s="15"/>
    </row>
    <row r="308">
      <c r="J308" s="15"/>
      <c r="V308" s="15"/>
      <c r="W308" s="15"/>
    </row>
    <row r="309">
      <c r="J309" s="15"/>
      <c r="V309" s="15"/>
      <c r="W309" s="15"/>
    </row>
    <row r="310">
      <c r="J310" s="15"/>
      <c r="V310" s="15"/>
      <c r="W310" s="15"/>
    </row>
    <row r="311">
      <c r="J311" s="15"/>
      <c r="V311" s="15"/>
      <c r="W311" s="15"/>
    </row>
    <row r="312">
      <c r="J312" s="15"/>
      <c r="V312" s="15"/>
      <c r="W312" s="15"/>
    </row>
    <row r="313">
      <c r="J313" s="15"/>
      <c r="V313" s="15"/>
      <c r="W313" s="15"/>
    </row>
    <row r="314">
      <c r="J314" s="15"/>
      <c r="V314" s="15"/>
      <c r="W314" s="15"/>
    </row>
    <row r="315">
      <c r="J315" s="15"/>
      <c r="V315" s="15"/>
      <c r="W315" s="15"/>
    </row>
    <row r="316">
      <c r="J316" s="15"/>
      <c r="V316" s="15"/>
      <c r="W316" s="15"/>
    </row>
    <row r="317">
      <c r="J317" s="15"/>
      <c r="V317" s="15"/>
      <c r="W317" s="15"/>
    </row>
    <row r="318">
      <c r="J318" s="15"/>
      <c r="V318" s="15"/>
      <c r="W318" s="15"/>
    </row>
    <row r="319">
      <c r="J319" s="15"/>
      <c r="V319" s="15"/>
      <c r="W319" s="15"/>
    </row>
    <row r="320">
      <c r="J320" s="15"/>
      <c r="V320" s="15"/>
      <c r="W320" s="15"/>
    </row>
    <row r="321">
      <c r="J321" s="15"/>
      <c r="V321" s="15"/>
      <c r="W321" s="15"/>
    </row>
    <row r="322">
      <c r="J322" s="15"/>
      <c r="V322" s="15"/>
      <c r="W322" s="15"/>
    </row>
    <row r="323">
      <c r="J323" s="15"/>
      <c r="V323" s="15"/>
      <c r="W323" s="15"/>
    </row>
    <row r="324">
      <c r="J324" s="15"/>
      <c r="V324" s="15"/>
      <c r="W324" s="15"/>
    </row>
    <row r="325">
      <c r="J325" s="15"/>
      <c r="V325" s="15"/>
      <c r="W325" s="15"/>
    </row>
    <row r="326">
      <c r="J326" s="15"/>
      <c r="V326" s="15"/>
      <c r="W326" s="15"/>
    </row>
    <row r="327">
      <c r="J327" s="15"/>
      <c r="V327" s="15"/>
      <c r="W327" s="15"/>
    </row>
    <row r="328">
      <c r="J328" s="15"/>
      <c r="V328" s="15"/>
      <c r="W328" s="15"/>
    </row>
    <row r="329">
      <c r="J329" s="15"/>
      <c r="V329" s="15"/>
      <c r="W329" s="15"/>
    </row>
    <row r="330">
      <c r="J330" s="15"/>
      <c r="V330" s="15"/>
      <c r="W330" s="15"/>
    </row>
    <row r="331">
      <c r="J331" s="15"/>
      <c r="V331" s="15"/>
      <c r="W331" s="15"/>
    </row>
    <row r="332">
      <c r="J332" s="15"/>
      <c r="V332" s="15"/>
      <c r="W332" s="15"/>
    </row>
    <row r="333">
      <c r="J333" s="15"/>
      <c r="V333" s="15"/>
      <c r="W333" s="15"/>
    </row>
    <row r="334">
      <c r="J334" s="15"/>
      <c r="V334" s="15"/>
      <c r="W334" s="15"/>
    </row>
    <row r="335">
      <c r="J335" s="15"/>
      <c r="V335" s="15"/>
      <c r="W335" s="15"/>
    </row>
    <row r="336">
      <c r="J336" s="15"/>
      <c r="V336" s="15"/>
      <c r="W336" s="15"/>
    </row>
    <row r="337">
      <c r="J337" s="15"/>
      <c r="V337" s="15"/>
      <c r="W337" s="15"/>
    </row>
    <row r="338">
      <c r="J338" s="15"/>
      <c r="V338" s="15"/>
      <c r="W338" s="15"/>
    </row>
    <row r="339">
      <c r="J339" s="15"/>
      <c r="V339" s="15"/>
      <c r="W339" s="15"/>
    </row>
    <row r="340">
      <c r="J340" s="15"/>
      <c r="V340" s="15"/>
      <c r="W340" s="15"/>
    </row>
    <row r="341">
      <c r="J341" s="15"/>
      <c r="V341" s="15"/>
      <c r="W341" s="15"/>
    </row>
    <row r="342">
      <c r="J342" s="15"/>
      <c r="V342" s="15"/>
      <c r="W342" s="15"/>
    </row>
    <row r="343">
      <c r="J343" s="15"/>
      <c r="V343" s="15"/>
      <c r="W343" s="15"/>
    </row>
    <row r="344">
      <c r="J344" s="15"/>
      <c r="V344" s="15"/>
      <c r="W344" s="15"/>
    </row>
    <row r="345">
      <c r="J345" s="15"/>
      <c r="V345" s="15"/>
      <c r="W345" s="15"/>
    </row>
    <row r="346">
      <c r="J346" s="15"/>
      <c r="V346" s="15"/>
      <c r="W346" s="15"/>
    </row>
    <row r="347">
      <c r="J347" s="15"/>
      <c r="V347" s="15"/>
      <c r="W347" s="15"/>
    </row>
    <row r="348">
      <c r="J348" s="15"/>
      <c r="V348" s="15"/>
      <c r="W348" s="15"/>
    </row>
    <row r="349">
      <c r="J349" s="15"/>
      <c r="V349" s="15"/>
      <c r="W349" s="15"/>
    </row>
    <row r="350">
      <c r="J350" s="15"/>
      <c r="V350" s="15"/>
      <c r="W350" s="15"/>
    </row>
    <row r="351">
      <c r="J351" s="15"/>
      <c r="V351" s="15"/>
      <c r="W351" s="15"/>
    </row>
    <row r="352">
      <c r="J352" s="15"/>
      <c r="V352" s="15"/>
      <c r="W352" s="15"/>
    </row>
    <row r="353">
      <c r="J353" s="15"/>
      <c r="V353" s="15"/>
      <c r="W353" s="15"/>
    </row>
    <row r="354">
      <c r="J354" s="15"/>
      <c r="V354" s="15"/>
      <c r="W354" s="15"/>
    </row>
    <row r="355">
      <c r="J355" s="15"/>
      <c r="V355" s="15"/>
      <c r="W355" s="15"/>
    </row>
    <row r="356">
      <c r="J356" s="15"/>
      <c r="V356" s="15"/>
      <c r="W356" s="15"/>
    </row>
    <row r="357">
      <c r="J357" s="15"/>
      <c r="V357" s="15"/>
      <c r="W357" s="15"/>
    </row>
    <row r="358">
      <c r="J358" s="15"/>
      <c r="V358" s="15"/>
      <c r="W358" s="15"/>
    </row>
    <row r="359">
      <c r="J359" s="15"/>
      <c r="V359" s="15"/>
      <c r="W359" s="15"/>
    </row>
    <row r="360">
      <c r="J360" s="15"/>
      <c r="V360" s="15"/>
      <c r="W360" s="15"/>
    </row>
    <row r="361">
      <c r="J361" s="15"/>
      <c r="V361" s="15"/>
      <c r="W361" s="15"/>
    </row>
    <row r="362">
      <c r="J362" s="15"/>
      <c r="V362" s="15"/>
      <c r="W362" s="15"/>
    </row>
    <row r="363">
      <c r="J363" s="15"/>
      <c r="V363" s="15"/>
      <c r="W363" s="15"/>
    </row>
    <row r="364">
      <c r="J364" s="15"/>
      <c r="V364" s="15"/>
      <c r="W364" s="15"/>
    </row>
    <row r="365">
      <c r="J365" s="15"/>
      <c r="V365" s="15"/>
      <c r="W365" s="15"/>
    </row>
    <row r="366">
      <c r="J366" s="15"/>
      <c r="V366" s="15"/>
      <c r="W366" s="15"/>
    </row>
    <row r="367">
      <c r="J367" s="15"/>
      <c r="V367" s="15"/>
      <c r="W367" s="15"/>
    </row>
    <row r="368">
      <c r="J368" s="15"/>
      <c r="V368" s="15"/>
      <c r="W368" s="15"/>
    </row>
    <row r="369">
      <c r="J369" s="15"/>
      <c r="V369" s="15"/>
      <c r="W369" s="15"/>
    </row>
    <row r="370">
      <c r="J370" s="15"/>
      <c r="V370" s="15"/>
      <c r="W370" s="15"/>
    </row>
    <row r="371">
      <c r="J371" s="15"/>
      <c r="V371" s="15"/>
      <c r="W371" s="15"/>
    </row>
    <row r="372">
      <c r="J372" s="15"/>
      <c r="V372" s="15"/>
      <c r="W372" s="15"/>
    </row>
    <row r="373">
      <c r="J373" s="15"/>
      <c r="V373" s="15"/>
      <c r="W373" s="15"/>
    </row>
    <row r="374">
      <c r="J374" s="15"/>
      <c r="V374" s="15"/>
      <c r="W374" s="15"/>
    </row>
    <row r="375">
      <c r="J375" s="15"/>
      <c r="V375" s="15"/>
      <c r="W375" s="15"/>
    </row>
    <row r="376">
      <c r="J376" s="15"/>
      <c r="V376" s="15"/>
      <c r="W376" s="15"/>
    </row>
    <row r="377">
      <c r="J377" s="15"/>
      <c r="V377" s="15"/>
      <c r="W377" s="15"/>
    </row>
    <row r="378">
      <c r="J378" s="15"/>
      <c r="V378" s="15"/>
      <c r="W378" s="15"/>
    </row>
    <row r="379">
      <c r="J379" s="15"/>
      <c r="V379" s="15"/>
      <c r="W379" s="15"/>
    </row>
    <row r="380">
      <c r="J380" s="15"/>
      <c r="V380" s="15"/>
      <c r="W380" s="15"/>
    </row>
    <row r="381">
      <c r="J381" s="15"/>
      <c r="V381" s="15"/>
      <c r="W381" s="15"/>
    </row>
    <row r="382">
      <c r="J382" s="15"/>
      <c r="V382" s="15"/>
      <c r="W382" s="15"/>
    </row>
    <row r="383">
      <c r="J383" s="15"/>
      <c r="V383" s="15"/>
      <c r="W383" s="15"/>
    </row>
    <row r="384">
      <c r="J384" s="15"/>
      <c r="V384" s="15"/>
      <c r="W384" s="15"/>
    </row>
    <row r="385">
      <c r="J385" s="15"/>
      <c r="V385" s="15"/>
      <c r="W385" s="15"/>
    </row>
    <row r="386">
      <c r="J386" s="15"/>
      <c r="V386" s="15"/>
      <c r="W386" s="15"/>
    </row>
    <row r="387">
      <c r="J387" s="15"/>
      <c r="V387" s="15"/>
      <c r="W387" s="15"/>
    </row>
    <row r="388">
      <c r="J388" s="15"/>
      <c r="V388" s="15"/>
      <c r="W388" s="15"/>
    </row>
    <row r="389">
      <c r="J389" s="15"/>
      <c r="V389" s="15"/>
      <c r="W389" s="15"/>
    </row>
    <row r="390">
      <c r="J390" s="15"/>
      <c r="V390" s="15"/>
      <c r="W390" s="15"/>
    </row>
    <row r="391">
      <c r="J391" s="15"/>
      <c r="V391" s="15"/>
      <c r="W391" s="15"/>
    </row>
    <row r="392">
      <c r="J392" s="15"/>
      <c r="V392" s="15"/>
      <c r="W392" s="15"/>
    </row>
    <row r="393">
      <c r="J393" s="15"/>
      <c r="V393" s="15"/>
      <c r="W393" s="15"/>
    </row>
    <row r="394">
      <c r="J394" s="15"/>
      <c r="V394" s="15"/>
      <c r="W394" s="15"/>
    </row>
    <row r="395">
      <c r="J395" s="15"/>
      <c r="V395" s="15"/>
      <c r="W395" s="15"/>
    </row>
    <row r="396">
      <c r="J396" s="15"/>
      <c r="V396" s="15"/>
      <c r="W396" s="15"/>
    </row>
    <row r="397">
      <c r="J397" s="15"/>
      <c r="V397" s="15"/>
      <c r="W397" s="15"/>
    </row>
    <row r="398">
      <c r="J398" s="15"/>
      <c r="V398" s="15"/>
      <c r="W398" s="15"/>
    </row>
    <row r="399">
      <c r="J399" s="15"/>
      <c r="V399" s="15"/>
      <c r="W399" s="15"/>
    </row>
    <row r="400">
      <c r="J400" s="15"/>
      <c r="V400" s="15"/>
      <c r="W400" s="15"/>
    </row>
    <row r="401">
      <c r="J401" s="15"/>
      <c r="V401" s="15"/>
      <c r="W401" s="15"/>
    </row>
    <row r="402">
      <c r="J402" s="15"/>
      <c r="V402" s="15"/>
      <c r="W402" s="15"/>
    </row>
    <row r="403">
      <c r="J403" s="15"/>
      <c r="V403" s="15"/>
      <c r="W403" s="15"/>
    </row>
    <row r="404">
      <c r="J404" s="15"/>
      <c r="V404" s="15"/>
      <c r="W404" s="15"/>
    </row>
    <row r="405">
      <c r="J405" s="15"/>
      <c r="V405" s="15"/>
      <c r="W405" s="15"/>
    </row>
    <row r="406">
      <c r="J406" s="15"/>
      <c r="V406" s="15"/>
      <c r="W406" s="15"/>
    </row>
    <row r="407">
      <c r="J407" s="15"/>
      <c r="V407" s="15"/>
      <c r="W407" s="15"/>
    </row>
    <row r="408">
      <c r="J408" s="15"/>
      <c r="V408" s="15"/>
      <c r="W408" s="15"/>
    </row>
    <row r="409">
      <c r="J409" s="15"/>
      <c r="V409" s="15"/>
      <c r="W409" s="15"/>
    </row>
    <row r="410">
      <c r="J410" s="15"/>
      <c r="V410" s="15"/>
      <c r="W410" s="15"/>
    </row>
    <row r="411">
      <c r="J411" s="15"/>
      <c r="V411" s="15"/>
      <c r="W411" s="15"/>
    </row>
    <row r="412">
      <c r="J412" s="15"/>
      <c r="V412" s="15"/>
      <c r="W412" s="15"/>
    </row>
    <row r="413">
      <c r="J413" s="15"/>
      <c r="V413" s="15"/>
      <c r="W413" s="15"/>
    </row>
    <row r="414">
      <c r="J414" s="15"/>
      <c r="V414" s="15"/>
      <c r="W414" s="15"/>
    </row>
    <row r="415">
      <c r="J415" s="15"/>
      <c r="V415" s="15"/>
      <c r="W415" s="15"/>
    </row>
    <row r="416">
      <c r="J416" s="15"/>
      <c r="V416" s="15"/>
      <c r="W416" s="15"/>
    </row>
    <row r="417">
      <c r="J417" s="15"/>
      <c r="V417" s="15"/>
      <c r="W417" s="15"/>
    </row>
    <row r="418">
      <c r="J418" s="15"/>
      <c r="V418" s="15"/>
      <c r="W418" s="15"/>
    </row>
    <row r="419">
      <c r="J419" s="15"/>
      <c r="V419" s="15"/>
      <c r="W419" s="15"/>
    </row>
    <row r="420">
      <c r="J420" s="15"/>
      <c r="V420" s="15"/>
      <c r="W420" s="15"/>
    </row>
    <row r="421">
      <c r="J421" s="15"/>
      <c r="V421" s="15"/>
      <c r="W421" s="15"/>
    </row>
    <row r="422">
      <c r="J422" s="15"/>
      <c r="V422" s="15"/>
      <c r="W422" s="15"/>
    </row>
    <row r="423">
      <c r="J423" s="15"/>
      <c r="V423" s="15"/>
      <c r="W423" s="15"/>
    </row>
    <row r="424">
      <c r="J424" s="15"/>
      <c r="V424" s="15"/>
      <c r="W424" s="15"/>
    </row>
    <row r="425">
      <c r="J425" s="15"/>
      <c r="V425" s="15"/>
      <c r="W425" s="15"/>
    </row>
    <row r="426">
      <c r="J426" s="15"/>
      <c r="V426" s="15"/>
      <c r="W426" s="15"/>
    </row>
    <row r="427">
      <c r="J427" s="15"/>
      <c r="V427" s="15"/>
      <c r="W427" s="15"/>
    </row>
    <row r="428">
      <c r="J428" s="15"/>
      <c r="V428" s="15"/>
      <c r="W428" s="15"/>
    </row>
    <row r="429">
      <c r="J429" s="15"/>
      <c r="V429" s="15"/>
      <c r="W429" s="15"/>
    </row>
    <row r="430">
      <c r="J430" s="15"/>
      <c r="V430" s="15"/>
      <c r="W430" s="15"/>
    </row>
    <row r="431">
      <c r="J431" s="15"/>
      <c r="V431" s="15"/>
      <c r="W431" s="15"/>
    </row>
    <row r="432">
      <c r="J432" s="15"/>
      <c r="V432" s="15"/>
      <c r="W432" s="15"/>
    </row>
    <row r="433">
      <c r="J433" s="15"/>
      <c r="V433" s="15"/>
      <c r="W433" s="15"/>
    </row>
    <row r="434">
      <c r="J434" s="15"/>
      <c r="V434" s="15"/>
      <c r="W434" s="15"/>
    </row>
    <row r="435">
      <c r="J435" s="15"/>
      <c r="V435" s="15"/>
      <c r="W435" s="15"/>
    </row>
    <row r="436">
      <c r="J436" s="15"/>
      <c r="V436" s="15"/>
      <c r="W436" s="15"/>
    </row>
    <row r="437">
      <c r="J437" s="15"/>
      <c r="V437" s="15"/>
      <c r="W437" s="15"/>
    </row>
    <row r="438">
      <c r="J438" s="15"/>
      <c r="V438" s="15"/>
      <c r="W438" s="15"/>
    </row>
    <row r="439">
      <c r="J439" s="15"/>
      <c r="V439" s="15"/>
      <c r="W439" s="15"/>
    </row>
    <row r="440">
      <c r="J440" s="15"/>
      <c r="V440" s="15"/>
      <c r="W440" s="15"/>
    </row>
    <row r="441">
      <c r="J441" s="15"/>
      <c r="V441" s="15"/>
      <c r="W441" s="15"/>
    </row>
    <row r="442">
      <c r="J442" s="15"/>
      <c r="V442" s="15"/>
      <c r="W442" s="15"/>
    </row>
    <row r="443">
      <c r="J443" s="15"/>
      <c r="V443" s="15"/>
      <c r="W443" s="15"/>
    </row>
    <row r="444">
      <c r="J444" s="15"/>
      <c r="V444" s="15"/>
      <c r="W444" s="15"/>
    </row>
    <row r="445">
      <c r="J445" s="15"/>
      <c r="V445" s="15"/>
      <c r="W445" s="15"/>
    </row>
    <row r="446">
      <c r="J446" s="15"/>
      <c r="V446" s="15"/>
      <c r="W446" s="15"/>
    </row>
    <row r="447">
      <c r="J447" s="15"/>
      <c r="V447" s="15"/>
      <c r="W447" s="15"/>
    </row>
    <row r="448">
      <c r="J448" s="15"/>
      <c r="V448" s="15"/>
      <c r="W448" s="15"/>
    </row>
    <row r="449">
      <c r="J449" s="15"/>
      <c r="V449" s="15"/>
      <c r="W449" s="15"/>
    </row>
    <row r="450">
      <c r="J450" s="15"/>
      <c r="V450" s="15"/>
      <c r="W450" s="15"/>
    </row>
    <row r="451">
      <c r="J451" s="15"/>
      <c r="V451" s="15"/>
      <c r="W451" s="15"/>
    </row>
    <row r="452">
      <c r="J452" s="15"/>
      <c r="V452" s="15"/>
      <c r="W452" s="15"/>
    </row>
    <row r="453">
      <c r="J453" s="15"/>
      <c r="V453" s="15"/>
      <c r="W453" s="15"/>
    </row>
    <row r="454">
      <c r="J454" s="15"/>
      <c r="V454" s="15"/>
      <c r="W454" s="15"/>
    </row>
    <row r="455">
      <c r="J455" s="15"/>
      <c r="V455" s="15"/>
      <c r="W455" s="15"/>
    </row>
    <row r="456">
      <c r="J456" s="15"/>
      <c r="V456" s="15"/>
      <c r="W456" s="15"/>
    </row>
    <row r="457">
      <c r="J457" s="15"/>
      <c r="V457" s="15"/>
      <c r="W457" s="15"/>
    </row>
    <row r="458">
      <c r="J458" s="15"/>
      <c r="V458" s="15"/>
      <c r="W458" s="15"/>
    </row>
    <row r="459">
      <c r="J459" s="15"/>
      <c r="V459" s="15"/>
      <c r="W459" s="15"/>
    </row>
    <row r="460">
      <c r="J460" s="15"/>
      <c r="V460" s="15"/>
      <c r="W460" s="15"/>
    </row>
    <row r="461">
      <c r="J461" s="15"/>
      <c r="V461" s="15"/>
      <c r="W461" s="15"/>
    </row>
    <row r="462">
      <c r="J462" s="15"/>
      <c r="V462" s="15"/>
      <c r="W462" s="15"/>
    </row>
    <row r="463">
      <c r="J463" s="15"/>
      <c r="V463" s="15"/>
      <c r="W463" s="15"/>
    </row>
    <row r="464">
      <c r="J464" s="15"/>
      <c r="V464" s="15"/>
      <c r="W464" s="15"/>
    </row>
    <row r="465">
      <c r="J465" s="15"/>
      <c r="V465" s="15"/>
      <c r="W465" s="15"/>
    </row>
    <row r="466">
      <c r="J466" s="15"/>
      <c r="V466" s="15"/>
      <c r="W466" s="15"/>
    </row>
    <row r="467">
      <c r="J467" s="15"/>
      <c r="V467" s="15"/>
      <c r="W467" s="15"/>
    </row>
    <row r="468">
      <c r="J468" s="15"/>
      <c r="V468" s="15"/>
      <c r="W468" s="15"/>
    </row>
    <row r="469">
      <c r="J469" s="15"/>
      <c r="V469" s="15"/>
      <c r="W469" s="15"/>
    </row>
    <row r="470">
      <c r="J470" s="15"/>
      <c r="V470" s="15"/>
      <c r="W470" s="15"/>
    </row>
    <row r="471">
      <c r="J471" s="15"/>
      <c r="V471" s="15"/>
      <c r="W471" s="15"/>
    </row>
    <row r="472">
      <c r="J472" s="15"/>
      <c r="V472" s="15"/>
      <c r="W472" s="15"/>
    </row>
    <row r="473">
      <c r="J473" s="15"/>
      <c r="V473" s="15"/>
      <c r="W473" s="15"/>
    </row>
    <row r="474">
      <c r="J474" s="15"/>
      <c r="V474" s="15"/>
      <c r="W474" s="15"/>
    </row>
    <row r="475">
      <c r="J475" s="15"/>
      <c r="V475" s="15"/>
      <c r="W475" s="15"/>
    </row>
    <row r="476">
      <c r="J476" s="15"/>
      <c r="V476" s="15"/>
      <c r="W476" s="15"/>
    </row>
    <row r="477">
      <c r="J477" s="15"/>
      <c r="V477" s="15"/>
      <c r="W477" s="15"/>
    </row>
    <row r="478">
      <c r="J478" s="15"/>
      <c r="V478" s="15"/>
      <c r="W478" s="15"/>
    </row>
    <row r="479">
      <c r="J479" s="15"/>
      <c r="V479" s="15"/>
      <c r="W479" s="15"/>
    </row>
    <row r="480">
      <c r="J480" s="15"/>
      <c r="V480" s="15"/>
      <c r="W480" s="15"/>
    </row>
    <row r="481">
      <c r="J481" s="15"/>
      <c r="V481" s="15"/>
      <c r="W481" s="15"/>
    </row>
    <row r="482">
      <c r="J482" s="15"/>
      <c r="V482" s="15"/>
      <c r="W482" s="15"/>
    </row>
    <row r="483">
      <c r="J483" s="15"/>
      <c r="V483" s="15"/>
      <c r="W483" s="15"/>
    </row>
    <row r="484">
      <c r="J484" s="15"/>
      <c r="V484" s="15"/>
      <c r="W484" s="15"/>
    </row>
    <row r="485">
      <c r="J485" s="15"/>
      <c r="V485" s="15"/>
      <c r="W485" s="15"/>
    </row>
    <row r="486">
      <c r="J486" s="15"/>
      <c r="V486" s="15"/>
      <c r="W486" s="15"/>
    </row>
    <row r="487">
      <c r="J487" s="15"/>
      <c r="V487" s="15"/>
      <c r="W487" s="15"/>
    </row>
    <row r="488">
      <c r="J488" s="15"/>
      <c r="V488" s="15"/>
      <c r="W488" s="15"/>
    </row>
    <row r="489">
      <c r="J489" s="15"/>
      <c r="V489" s="15"/>
      <c r="W489" s="15"/>
    </row>
    <row r="490">
      <c r="J490" s="15"/>
      <c r="V490" s="15"/>
      <c r="W490" s="15"/>
    </row>
    <row r="491">
      <c r="J491" s="15"/>
      <c r="V491" s="15"/>
      <c r="W491" s="15"/>
    </row>
    <row r="492">
      <c r="J492" s="15"/>
      <c r="V492" s="15"/>
      <c r="W492" s="15"/>
    </row>
    <row r="493">
      <c r="J493" s="15"/>
      <c r="V493" s="15"/>
      <c r="W493" s="15"/>
    </row>
    <row r="494">
      <c r="J494" s="15"/>
      <c r="V494" s="15"/>
      <c r="W494" s="15"/>
    </row>
    <row r="495">
      <c r="J495" s="15"/>
      <c r="V495" s="15"/>
      <c r="W495" s="15"/>
    </row>
    <row r="496">
      <c r="J496" s="15"/>
      <c r="V496" s="15"/>
      <c r="W496" s="15"/>
    </row>
    <row r="497">
      <c r="J497" s="15"/>
      <c r="V497" s="15"/>
      <c r="W497" s="15"/>
    </row>
    <row r="498">
      <c r="J498" s="15"/>
      <c r="V498" s="15"/>
      <c r="W498" s="15"/>
    </row>
    <row r="499">
      <c r="J499" s="15"/>
      <c r="V499" s="15"/>
      <c r="W499" s="15"/>
    </row>
    <row r="500">
      <c r="J500" s="15"/>
      <c r="V500" s="15"/>
      <c r="W500" s="15"/>
    </row>
    <row r="501">
      <c r="J501" s="15"/>
      <c r="V501" s="15"/>
      <c r="W501" s="15"/>
    </row>
    <row r="502">
      <c r="J502" s="15"/>
      <c r="V502" s="15"/>
      <c r="W502" s="15"/>
    </row>
    <row r="503">
      <c r="J503" s="15"/>
      <c r="V503" s="15"/>
      <c r="W503" s="15"/>
    </row>
    <row r="504">
      <c r="J504" s="15"/>
      <c r="V504" s="15"/>
      <c r="W504" s="15"/>
    </row>
    <row r="505">
      <c r="J505" s="15"/>
      <c r="V505" s="15"/>
      <c r="W505" s="15"/>
    </row>
    <row r="506">
      <c r="J506" s="15"/>
      <c r="V506" s="15"/>
      <c r="W506" s="15"/>
    </row>
    <row r="507">
      <c r="J507" s="15"/>
      <c r="V507" s="15"/>
      <c r="W507" s="15"/>
    </row>
    <row r="508">
      <c r="J508" s="15"/>
      <c r="V508" s="15"/>
      <c r="W508" s="15"/>
    </row>
    <row r="509">
      <c r="J509" s="15"/>
      <c r="V509" s="15"/>
      <c r="W509" s="15"/>
    </row>
    <row r="510">
      <c r="J510" s="15"/>
      <c r="V510" s="15"/>
      <c r="W510" s="15"/>
    </row>
    <row r="511">
      <c r="J511" s="15"/>
      <c r="V511" s="15"/>
      <c r="W511" s="15"/>
    </row>
    <row r="512">
      <c r="J512" s="15"/>
      <c r="V512" s="15"/>
      <c r="W512" s="15"/>
    </row>
    <row r="513">
      <c r="J513" s="15"/>
      <c r="V513" s="15"/>
      <c r="W513" s="15"/>
    </row>
    <row r="514">
      <c r="J514" s="15"/>
      <c r="V514" s="15"/>
      <c r="W514" s="15"/>
    </row>
    <row r="515">
      <c r="J515" s="15"/>
      <c r="V515" s="15"/>
      <c r="W515" s="15"/>
    </row>
    <row r="516">
      <c r="J516" s="15"/>
      <c r="V516" s="15"/>
      <c r="W516" s="15"/>
    </row>
    <row r="517">
      <c r="J517" s="15"/>
      <c r="V517" s="15"/>
      <c r="W517" s="15"/>
    </row>
    <row r="518">
      <c r="J518" s="15"/>
      <c r="V518" s="15"/>
      <c r="W518" s="15"/>
    </row>
    <row r="519">
      <c r="J519" s="15"/>
      <c r="V519" s="15"/>
      <c r="W519" s="15"/>
    </row>
    <row r="520">
      <c r="J520" s="15"/>
      <c r="V520" s="15"/>
      <c r="W520" s="15"/>
    </row>
    <row r="521">
      <c r="J521" s="15"/>
      <c r="V521" s="15"/>
      <c r="W521" s="15"/>
    </row>
    <row r="522">
      <c r="J522" s="15"/>
      <c r="V522" s="15"/>
      <c r="W522" s="15"/>
    </row>
    <row r="523">
      <c r="J523" s="15"/>
      <c r="V523" s="15"/>
      <c r="W523" s="15"/>
    </row>
    <row r="524">
      <c r="J524" s="15"/>
      <c r="V524" s="15"/>
      <c r="W524" s="15"/>
    </row>
    <row r="525">
      <c r="J525" s="15"/>
      <c r="V525" s="15"/>
      <c r="W525" s="15"/>
    </row>
    <row r="526">
      <c r="J526" s="15"/>
      <c r="V526" s="15"/>
      <c r="W526" s="15"/>
    </row>
    <row r="527">
      <c r="J527" s="15"/>
      <c r="V527" s="15"/>
      <c r="W527" s="15"/>
    </row>
    <row r="528">
      <c r="J528" s="15"/>
      <c r="V528" s="15"/>
      <c r="W528" s="15"/>
    </row>
    <row r="529">
      <c r="J529" s="15"/>
      <c r="V529" s="15"/>
      <c r="W529" s="15"/>
    </row>
    <row r="530">
      <c r="J530" s="15"/>
      <c r="V530" s="15"/>
      <c r="W530" s="15"/>
    </row>
    <row r="531">
      <c r="J531" s="15"/>
      <c r="V531" s="15"/>
      <c r="W531" s="15"/>
    </row>
    <row r="532">
      <c r="J532" s="15"/>
      <c r="V532" s="15"/>
      <c r="W532" s="15"/>
    </row>
    <row r="533">
      <c r="J533" s="15"/>
      <c r="V533" s="15"/>
      <c r="W533" s="15"/>
    </row>
    <row r="534">
      <c r="J534" s="15"/>
      <c r="V534" s="15"/>
      <c r="W534" s="15"/>
    </row>
    <row r="535">
      <c r="J535" s="15"/>
      <c r="V535" s="15"/>
      <c r="W535" s="15"/>
    </row>
    <row r="536">
      <c r="J536" s="15"/>
      <c r="V536" s="15"/>
      <c r="W536" s="15"/>
    </row>
    <row r="537">
      <c r="J537" s="15"/>
      <c r="V537" s="15"/>
      <c r="W537" s="15"/>
    </row>
    <row r="538">
      <c r="J538" s="15"/>
      <c r="V538" s="15"/>
      <c r="W538" s="15"/>
    </row>
    <row r="539">
      <c r="J539" s="15"/>
      <c r="V539" s="15"/>
      <c r="W539" s="15"/>
    </row>
    <row r="540">
      <c r="J540" s="15"/>
      <c r="V540" s="15"/>
      <c r="W540" s="15"/>
    </row>
    <row r="541">
      <c r="J541" s="15"/>
      <c r="V541" s="15"/>
      <c r="W541" s="15"/>
    </row>
    <row r="542">
      <c r="J542" s="15"/>
      <c r="V542" s="15"/>
      <c r="W542" s="15"/>
    </row>
    <row r="543">
      <c r="J543" s="15"/>
      <c r="V543" s="15"/>
      <c r="W543" s="15"/>
    </row>
    <row r="544">
      <c r="J544" s="15"/>
      <c r="V544" s="15"/>
      <c r="W544" s="15"/>
    </row>
    <row r="545">
      <c r="J545" s="15"/>
      <c r="V545" s="15"/>
      <c r="W545" s="15"/>
    </row>
    <row r="546">
      <c r="J546" s="15"/>
      <c r="V546" s="15"/>
      <c r="W546" s="15"/>
    </row>
    <row r="547">
      <c r="J547" s="15"/>
      <c r="V547" s="15"/>
      <c r="W547" s="15"/>
    </row>
    <row r="548">
      <c r="J548" s="15"/>
      <c r="V548" s="15"/>
      <c r="W548" s="15"/>
    </row>
    <row r="549">
      <c r="J549" s="15"/>
      <c r="V549" s="15"/>
      <c r="W549" s="15"/>
    </row>
    <row r="550">
      <c r="J550" s="15"/>
      <c r="V550" s="15"/>
      <c r="W550" s="15"/>
    </row>
    <row r="551">
      <c r="J551" s="15"/>
      <c r="V551" s="15"/>
      <c r="W551" s="15"/>
    </row>
    <row r="552">
      <c r="J552" s="15"/>
      <c r="V552" s="15"/>
      <c r="W552" s="15"/>
    </row>
    <row r="553">
      <c r="J553" s="15"/>
      <c r="V553" s="15"/>
      <c r="W553" s="15"/>
    </row>
    <row r="554">
      <c r="J554" s="15"/>
      <c r="V554" s="15"/>
      <c r="W554" s="15"/>
    </row>
    <row r="555">
      <c r="J555" s="15"/>
      <c r="V555" s="15"/>
      <c r="W555" s="15"/>
    </row>
    <row r="556">
      <c r="J556" s="15"/>
      <c r="V556" s="15"/>
      <c r="W556" s="15"/>
    </row>
    <row r="557">
      <c r="J557" s="15"/>
      <c r="V557" s="15"/>
      <c r="W557" s="15"/>
    </row>
    <row r="558">
      <c r="J558" s="15"/>
      <c r="V558" s="15"/>
      <c r="W558" s="15"/>
    </row>
    <row r="559">
      <c r="J559" s="15"/>
      <c r="V559" s="15"/>
      <c r="W559" s="15"/>
    </row>
    <row r="560">
      <c r="J560" s="15"/>
      <c r="V560" s="15"/>
      <c r="W560" s="15"/>
    </row>
    <row r="561">
      <c r="J561" s="15"/>
      <c r="V561" s="15"/>
      <c r="W561" s="15"/>
    </row>
    <row r="562">
      <c r="J562" s="15"/>
      <c r="V562" s="15"/>
      <c r="W562" s="15"/>
    </row>
    <row r="563">
      <c r="J563" s="15"/>
      <c r="V563" s="15"/>
      <c r="W563" s="15"/>
    </row>
    <row r="564">
      <c r="J564" s="15"/>
      <c r="V564" s="15"/>
      <c r="W564" s="15"/>
    </row>
    <row r="565">
      <c r="J565" s="15"/>
      <c r="V565" s="15"/>
      <c r="W565" s="15"/>
    </row>
    <row r="566">
      <c r="J566" s="15"/>
      <c r="V566" s="15"/>
      <c r="W566" s="15"/>
    </row>
    <row r="567">
      <c r="J567" s="15"/>
      <c r="V567" s="15"/>
      <c r="W567" s="15"/>
    </row>
    <row r="568">
      <c r="J568" s="15"/>
      <c r="V568" s="15"/>
      <c r="W568" s="15"/>
    </row>
    <row r="569">
      <c r="J569" s="15"/>
      <c r="V569" s="15"/>
      <c r="W569" s="15"/>
    </row>
    <row r="570">
      <c r="J570" s="15"/>
      <c r="V570" s="15"/>
      <c r="W570" s="15"/>
    </row>
    <row r="571">
      <c r="J571" s="15"/>
      <c r="V571" s="15"/>
      <c r="W571" s="15"/>
    </row>
    <row r="572">
      <c r="J572" s="15"/>
      <c r="V572" s="15"/>
      <c r="W572" s="15"/>
    </row>
    <row r="573">
      <c r="J573" s="15"/>
      <c r="V573" s="15"/>
      <c r="W573" s="15"/>
    </row>
    <row r="574">
      <c r="J574" s="15"/>
      <c r="V574" s="15"/>
      <c r="W574" s="15"/>
    </row>
    <row r="575">
      <c r="J575" s="15"/>
      <c r="V575" s="15"/>
      <c r="W575" s="15"/>
    </row>
    <row r="576">
      <c r="J576" s="15"/>
      <c r="V576" s="15"/>
      <c r="W576" s="15"/>
    </row>
    <row r="577">
      <c r="J577" s="15"/>
      <c r="V577" s="15"/>
      <c r="W577" s="15"/>
    </row>
    <row r="578">
      <c r="J578" s="15"/>
      <c r="V578" s="15"/>
      <c r="W578" s="15"/>
    </row>
    <row r="579">
      <c r="J579" s="15"/>
      <c r="V579" s="15"/>
      <c r="W579" s="15"/>
    </row>
    <row r="580">
      <c r="J580" s="15"/>
      <c r="V580" s="15"/>
      <c r="W580" s="15"/>
    </row>
    <row r="581">
      <c r="J581" s="15"/>
      <c r="V581" s="15"/>
      <c r="W581" s="15"/>
    </row>
    <row r="582">
      <c r="J582" s="15"/>
      <c r="V582" s="15"/>
      <c r="W582" s="15"/>
    </row>
    <row r="583">
      <c r="J583" s="15"/>
      <c r="V583" s="15"/>
      <c r="W583" s="15"/>
    </row>
    <row r="584">
      <c r="J584" s="15"/>
      <c r="V584" s="15"/>
      <c r="W584" s="15"/>
    </row>
    <row r="585">
      <c r="J585" s="15"/>
      <c r="V585" s="15"/>
      <c r="W585" s="15"/>
    </row>
    <row r="586">
      <c r="J586" s="15"/>
      <c r="V586" s="15"/>
      <c r="W586" s="15"/>
    </row>
    <row r="587">
      <c r="J587" s="15"/>
      <c r="V587" s="15"/>
      <c r="W587" s="15"/>
    </row>
    <row r="588">
      <c r="J588" s="15"/>
      <c r="V588" s="15"/>
      <c r="W588" s="15"/>
    </row>
    <row r="589">
      <c r="J589" s="15"/>
      <c r="V589" s="15"/>
      <c r="W589" s="15"/>
    </row>
    <row r="590">
      <c r="J590" s="15"/>
      <c r="V590" s="15"/>
      <c r="W590" s="15"/>
    </row>
    <row r="591">
      <c r="J591" s="15"/>
      <c r="V591" s="15"/>
      <c r="W591" s="15"/>
    </row>
    <row r="592">
      <c r="J592" s="15"/>
      <c r="V592" s="15"/>
      <c r="W592" s="15"/>
    </row>
    <row r="593">
      <c r="J593" s="15"/>
      <c r="V593" s="15"/>
      <c r="W593" s="15"/>
    </row>
    <row r="594">
      <c r="J594" s="15"/>
      <c r="V594" s="15"/>
      <c r="W594" s="15"/>
    </row>
    <row r="595">
      <c r="J595" s="15"/>
      <c r="V595" s="15"/>
      <c r="W595" s="15"/>
    </row>
    <row r="596">
      <c r="J596" s="15"/>
      <c r="V596" s="15"/>
      <c r="W596" s="15"/>
    </row>
    <row r="597">
      <c r="J597" s="15"/>
      <c r="V597" s="15"/>
      <c r="W597" s="15"/>
    </row>
    <row r="598">
      <c r="J598" s="15"/>
      <c r="V598" s="15"/>
      <c r="W598" s="15"/>
    </row>
    <row r="599">
      <c r="J599" s="15"/>
      <c r="V599" s="15"/>
      <c r="W599" s="15"/>
    </row>
    <row r="600">
      <c r="J600" s="15"/>
      <c r="V600" s="15"/>
      <c r="W600" s="15"/>
    </row>
    <row r="601">
      <c r="J601" s="15"/>
      <c r="V601" s="15"/>
      <c r="W601" s="15"/>
    </row>
    <row r="602">
      <c r="J602" s="15"/>
      <c r="V602" s="15"/>
      <c r="W602" s="15"/>
    </row>
    <row r="603">
      <c r="J603" s="15"/>
      <c r="V603" s="15"/>
      <c r="W603" s="15"/>
    </row>
    <row r="604">
      <c r="J604" s="15"/>
      <c r="V604" s="15"/>
      <c r="W604" s="15"/>
    </row>
    <row r="605">
      <c r="J605" s="15"/>
      <c r="V605" s="15"/>
      <c r="W605" s="15"/>
    </row>
    <row r="606">
      <c r="J606" s="15"/>
      <c r="V606" s="15"/>
      <c r="W606" s="15"/>
    </row>
    <row r="607">
      <c r="J607" s="15"/>
      <c r="V607" s="15"/>
      <c r="W607" s="15"/>
    </row>
    <row r="608">
      <c r="J608" s="15"/>
      <c r="V608" s="15"/>
      <c r="W608" s="15"/>
    </row>
    <row r="609">
      <c r="J609" s="15"/>
      <c r="V609" s="15"/>
      <c r="W609" s="15"/>
    </row>
    <row r="610">
      <c r="J610" s="15"/>
      <c r="V610" s="15"/>
      <c r="W610" s="15"/>
    </row>
    <row r="611">
      <c r="J611" s="15"/>
      <c r="V611" s="15"/>
      <c r="W611" s="15"/>
    </row>
    <row r="612">
      <c r="J612" s="15"/>
      <c r="V612" s="15"/>
      <c r="W612" s="15"/>
    </row>
    <row r="613">
      <c r="J613" s="15"/>
      <c r="V613" s="15"/>
      <c r="W613" s="15"/>
    </row>
    <row r="614">
      <c r="J614" s="15"/>
      <c r="V614" s="15"/>
      <c r="W614" s="15"/>
    </row>
    <row r="615">
      <c r="J615" s="15"/>
      <c r="V615" s="15"/>
      <c r="W615" s="15"/>
    </row>
    <row r="616">
      <c r="J616" s="15"/>
      <c r="V616" s="15"/>
      <c r="W616" s="15"/>
    </row>
    <row r="617">
      <c r="J617" s="15"/>
      <c r="V617" s="15"/>
      <c r="W617" s="15"/>
    </row>
    <row r="618">
      <c r="J618" s="15"/>
      <c r="V618" s="15"/>
      <c r="W618" s="15"/>
    </row>
    <row r="619">
      <c r="J619" s="15"/>
      <c r="V619" s="15"/>
      <c r="W619" s="15"/>
    </row>
    <row r="620">
      <c r="J620" s="15"/>
      <c r="V620" s="15"/>
      <c r="W620" s="15"/>
    </row>
    <row r="621">
      <c r="J621" s="15"/>
      <c r="V621" s="15"/>
      <c r="W621" s="15"/>
    </row>
    <row r="622">
      <c r="J622" s="15"/>
      <c r="V622" s="15"/>
      <c r="W622" s="15"/>
    </row>
    <row r="623">
      <c r="J623" s="15"/>
      <c r="V623" s="15"/>
      <c r="W623" s="15"/>
    </row>
    <row r="624">
      <c r="J624" s="15"/>
      <c r="V624" s="15"/>
      <c r="W624" s="15"/>
    </row>
    <row r="625">
      <c r="J625" s="15"/>
      <c r="V625" s="15"/>
      <c r="W625" s="15"/>
    </row>
    <row r="626">
      <c r="J626" s="15"/>
      <c r="V626" s="15"/>
      <c r="W626" s="15"/>
    </row>
    <row r="627">
      <c r="J627" s="15"/>
      <c r="V627" s="15"/>
      <c r="W627" s="15"/>
    </row>
    <row r="628">
      <c r="J628" s="15"/>
      <c r="V628" s="15"/>
      <c r="W628" s="15"/>
    </row>
    <row r="629">
      <c r="J629" s="15"/>
      <c r="V629" s="15"/>
      <c r="W629" s="15"/>
    </row>
    <row r="630">
      <c r="J630" s="15"/>
      <c r="V630" s="15"/>
      <c r="W630" s="15"/>
    </row>
    <row r="631">
      <c r="J631" s="15"/>
      <c r="V631" s="15"/>
      <c r="W631" s="15"/>
    </row>
    <row r="632">
      <c r="J632" s="15"/>
      <c r="V632" s="15"/>
      <c r="W632" s="15"/>
    </row>
    <row r="633">
      <c r="J633" s="15"/>
      <c r="V633" s="15"/>
      <c r="W633" s="15"/>
    </row>
    <row r="634">
      <c r="J634" s="15"/>
      <c r="V634" s="15"/>
      <c r="W634" s="15"/>
    </row>
    <row r="635">
      <c r="J635" s="15"/>
      <c r="V635" s="15"/>
      <c r="W635" s="15"/>
    </row>
    <row r="636">
      <c r="J636" s="15"/>
      <c r="V636" s="15"/>
      <c r="W636" s="15"/>
    </row>
    <row r="637">
      <c r="J637" s="15"/>
      <c r="V637" s="15"/>
      <c r="W637" s="15"/>
    </row>
    <row r="638">
      <c r="J638" s="15"/>
      <c r="V638" s="15"/>
      <c r="W638" s="15"/>
    </row>
    <row r="639">
      <c r="J639" s="15"/>
      <c r="V639" s="15"/>
      <c r="W639" s="15"/>
    </row>
    <row r="640">
      <c r="J640" s="15"/>
      <c r="V640" s="15"/>
      <c r="W640" s="15"/>
    </row>
    <row r="641">
      <c r="J641" s="15"/>
      <c r="V641" s="15"/>
      <c r="W641" s="15"/>
    </row>
    <row r="642">
      <c r="J642" s="15"/>
      <c r="V642" s="15"/>
      <c r="W642" s="15"/>
    </row>
    <row r="643">
      <c r="J643" s="15"/>
      <c r="V643" s="15"/>
      <c r="W643" s="15"/>
    </row>
    <row r="644">
      <c r="J644" s="15"/>
      <c r="V644" s="15"/>
      <c r="W644" s="15"/>
    </row>
    <row r="645">
      <c r="J645" s="15"/>
      <c r="V645" s="15"/>
      <c r="W645" s="15"/>
    </row>
    <row r="646">
      <c r="J646" s="15"/>
      <c r="V646" s="15"/>
      <c r="W646" s="15"/>
    </row>
    <row r="647">
      <c r="J647" s="15"/>
      <c r="V647" s="15"/>
      <c r="W647" s="15"/>
    </row>
    <row r="648">
      <c r="J648" s="15"/>
      <c r="V648" s="15"/>
      <c r="W648" s="15"/>
    </row>
    <row r="649">
      <c r="J649" s="15"/>
      <c r="V649" s="15"/>
      <c r="W649" s="15"/>
    </row>
    <row r="650">
      <c r="J650" s="15"/>
      <c r="V650" s="15"/>
      <c r="W650" s="15"/>
    </row>
    <row r="651">
      <c r="J651" s="15"/>
      <c r="V651" s="15"/>
      <c r="W651" s="15"/>
    </row>
    <row r="652">
      <c r="J652" s="15"/>
      <c r="V652" s="15"/>
      <c r="W652" s="15"/>
    </row>
    <row r="653">
      <c r="J653" s="15"/>
      <c r="V653" s="15"/>
      <c r="W653" s="15"/>
    </row>
    <row r="654">
      <c r="J654" s="15"/>
      <c r="V654" s="15"/>
      <c r="W654" s="15"/>
    </row>
    <row r="655">
      <c r="J655" s="15"/>
      <c r="V655" s="15"/>
      <c r="W655" s="15"/>
    </row>
    <row r="656">
      <c r="J656" s="15"/>
      <c r="V656" s="15"/>
      <c r="W656" s="15"/>
    </row>
    <row r="657">
      <c r="J657" s="15"/>
      <c r="V657" s="15"/>
      <c r="W657" s="15"/>
    </row>
    <row r="658">
      <c r="J658" s="15"/>
      <c r="V658" s="15"/>
      <c r="W658" s="15"/>
    </row>
    <row r="659">
      <c r="J659" s="15"/>
      <c r="V659" s="15"/>
      <c r="W659" s="15"/>
    </row>
    <row r="660">
      <c r="J660" s="15"/>
      <c r="V660" s="15"/>
      <c r="W660" s="15"/>
    </row>
    <row r="661">
      <c r="J661" s="15"/>
      <c r="V661" s="15"/>
      <c r="W661" s="15"/>
    </row>
    <row r="662">
      <c r="J662" s="15"/>
      <c r="V662" s="15"/>
      <c r="W662" s="15"/>
    </row>
    <row r="663">
      <c r="J663" s="15"/>
      <c r="V663" s="15"/>
      <c r="W663" s="15"/>
    </row>
    <row r="664">
      <c r="J664" s="15"/>
      <c r="V664" s="15"/>
      <c r="W664" s="15"/>
    </row>
    <row r="665">
      <c r="J665" s="15"/>
      <c r="V665" s="15"/>
      <c r="W665" s="15"/>
    </row>
    <row r="666">
      <c r="J666" s="15"/>
      <c r="V666" s="15"/>
      <c r="W666" s="15"/>
    </row>
    <row r="667">
      <c r="J667" s="15"/>
      <c r="V667" s="15"/>
      <c r="W667" s="15"/>
    </row>
    <row r="668">
      <c r="J668" s="15"/>
      <c r="V668" s="15"/>
      <c r="W668" s="15"/>
    </row>
    <row r="669">
      <c r="J669" s="15"/>
      <c r="V669" s="15"/>
      <c r="W669" s="15"/>
    </row>
    <row r="670">
      <c r="J670" s="15"/>
      <c r="V670" s="15"/>
      <c r="W670" s="15"/>
    </row>
    <row r="671">
      <c r="J671" s="15"/>
      <c r="V671" s="15"/>
      <c r="W671" s="15"/>
    </row>
    <row r="672">
      <c r="J672" s="15"/>
      <c r="V672" s="15"/>
      <c r="W672" s="15"/>
    </row>
    <row r="673">
      <c r="J673" s="15"/>
      <c r="V673" s="15"/>
      <c r="W673" s="15"/>
    </row>
    <row r="674">
      <c r="J674" s="15"/>
      <c r="V674" s="15"/>
      <c r="W674" s="15"/>
    </row>
    <row r="675">
      <c r="J675" s="15"/>
      <c r="V675" s="15"/>
      <c r="W675" s="15"/>
    </row>
    <row r="676">
      <c r="J676" s="15"/>
      <c r="V676" s="15"/>
      <c r="W676" s="15"/>
    </row>
    <row r="677">
      <c r="J677" s="15"/>
      <c r="V677" s="15"/>
      <c r="W677" s="15"/>
    </row>
    <row r="678">
      <c r="J678" s="15"/>
      <c r="V678" s="15"/>
      <c r="W678" s="15"/>
    </row>
    <row r="679">
      <c r="J679" s="15"/>
      <c r="V679" s="15"/>
      <c r="W679" s="15"/>
    </row>
    <row r="680">
      <c r="J680" s="15"/>
      <c r="V680" s="15"/>
      <c r="W680" s="15"/>
    </row>
    <row r="681">
      <c r="J681" s="15"/>
      <c r="V681" s="15"/>
      <c r="W681" s="15"/>
    </row>
    <row r="682">
      <c r="J682" s="15"/>
      <c r="V682" s="15"/>
      <c r="W682" s="15"/>
    </row>
    <row r="683">
      <c r="J683" s="15"/>
      <c r="V683" s="15"/>
      <c r="W683" s="15"/>
    </row>
    <row r="684">
      <c r="J684" s="15"/>
      <c r="V684" s="15"/>
      <c r="W684" s="15"/>
    </row>
    <row r="685">
      <c r="J685" s="15"/>
      <c r="V685" s="15"/>
      <c r="W685" s="15"/>
    </row>
    <row r="686">
      <c r="J686" s="15"/>
      <c r="V686" s="15"/>
      <c r="W686" s="15"/>
    </row>
    <row r="687">
      <c r="J687" s="15"/>
      <c r="V687" s="15"/>
      <c r="W687" s="15"/>
    </row>
    <row r="688">
      <c r="J688" s="15"/>
      <c r="V688" s="15"/>
      <c r="W688" s="15"/>
    </row>
    <row r="689">
      <c r="J689" s="15"/>
      <c r="V689" s="15"/>
      <c r="W689" s="15"/>
    </row>
    <row r="690">
      <c r="J690" s="15"/>
      <c r="V690" s="15"/>
      <c r="W690" s="15"/>
    </row>
    <row r="691">
      <c r="J691" s="15"/>
      <c r="V691" s="15"/>
      <c r="W691" s="15"/>
    </row>
    <row r="692">
      <c r="J692" s="15"/>
      <c r="V692" s="15"/>
      <c r="W692" s="15"/>
    </row>
    <row r="693">
      <c r="J693" s="15"/>
      <c r="V693" s="15"/>
      <c r="W693" s="15"/>
    </row>
    <row r="694">
      <c r="J694" s="15"/>
      <c r="V694" s="15"/>
      <c r="W694" s="15"/>
    </row>
    <row r="695">
      <c r="J695" s="15"/>
      <c r="V695" s="15"/>
      <c r="W695" s="15"/>
    </row>
    <row r="696">
      <c r="J696" s="15"/>
      <c r="V696" s="15"/>
      <c r="W696" s="15"/>
    </row>
    <row r="697">
      <c r="J697" s="15"/>
      <c r="V697" s="15"/>
      <c r="W697" s="15"/>
    </row>
    <row r="698">
      <c r="J698" s="15"/>
      <c r="V698" s="15"/>
      <c r="W698" s="15"/>
    </row>
    <row r="699">
      <c r="J699" s="15"/>
      <c r="V699" s="15"/>
      <c r="W699" s="15"/>
    </row>
    <row r="700">
      <c r="J700" s="15"/>
      <c r="V700" s="15"/>
      <c r="W700" s="15"/>
    </row>
    <row r="701">
      <c r="J701" s="15"/>
      <c r="V701" s="15"/>
      <c r="W701" s="15"/>
    </row>
    <row r="702">
      <c r="J702" s="15"/>
      <c r="V702" s="15"/>
      <c r="W702" s="15"/>
    </row>
    <row r="703">
      <c r="J703" s="15"/>
      <c r="V703" s="15"/>
      <c r="W703" s="15"/>
    </row>
    <row r="704">
      <c r="J704" s="15"/>
      <c r="V704" s="15"/>
      <c r="W704" s="15"/>
    </row>
    <row r="705">
      <c r="J705" s="15"/>
      <c r="V705" s="15"/>
      <c r="W705" s="15"/>
    </row>
    <row r="706">
      <c r="J706" s="15"/>
      <c r="V706" s="15"/>
      <c r="W706" s="15"/>
    </row>
    <row r="707">
      <c r="J707" s="15"/>
      <c r="V707" s="15"/>
      <c r="W707" s="15"/>
    </row>
    <row r="708">
      <c r="J708" s="15"/>
      <c r="V708" s="15"/>
      <c r="W708" s="15"/>
    </row>
    <row r="709">
      <c r="J709" s="15"/>
      <c r="V709" s="15"/>
      <c r="W709" s="15"/>
    </row>
    <row r="710">
      <c r="J710" s="15"/>
      <c r="V710" s="15"/>
      <c r="W710" s="15"/>
    </row>
    <row r="711">
      <c r="J711" s="15"/>
      <c r="V711" s="15"/>
      <c r="W711" s="15"/>
    </row>
    <row r="712">
      <c r="J712" s="15"/>
      <c r="V712" s="15"/>
      <c r="W712" s="15"/>
    </row>
    <row r="713">
      <c r="J713" s="15"/>
      <c r="V713" s="15"/>
      <c r="W713" s="15"/>
    </row>
    <row r="714">
      <c r="J714" s="15"/>
      <c r="V714" s="15"/>
      <c r="W714" s="15"/>
    </row>
    <row r="715">
      <c r="J715" s="15"/>
      <c r="V715" s="15"/>
      <c r="W715" s="15"/>
    </row>
    <row r="716">
      <c r="J716" s="15"/>
      <c r="V716" s="15"/>
      <c r="W716" s="15"/>
    </row>
    <row r="717">
      <c r="J717" s="15"/>
      <c r="V717" s="15"/>
      <c r="W717" s="15"/>
    </row>
    <row r="718">
      <c r="J718" s="15"/>
      <c r="V718" s="15"/>
      <c r="W718" s="15"/>
    </row>
    <row r="719">
      <c r="J719" s="15"/>
      <c r="V719" s="15"/>
      <c r="W719" s="15"/>
    </row>
    <row r="720">
      <c r="J720" s="15"/>
      <c r="V720" s="15"/>
      <c r="W720" s="15"/>
    </row>
    <row r="721">
      <c r="J721" s="15"/>
      <c r="V721" s="15"/>
      <c r="W721" s="15"/>
    </row>
    <row r="722">
      <c r="J722" s="15"/>
      <c r="V722" s="15"/>
      <c r="W722" s="15"/>
    </row>
    <row r="723">
      <c r="J723" s="15"/>
      <c r="V723" s="15"/>
      <c r="W723" s="15"/>
    </row>
    <row r="724">
      <c r="J724" s="15"/>
      <c r="V724" s="15"/>
      <c r="W724" s="15"/>
    </row>
    <row r="725">
      <c r="J725" s="15"/>
      <c r="V725" s="15"/>
      <c r="W725" s="15"/>
    </row>
    <row r="726">
      <c r="J726" s="15"/>
      <c r="V726" s="15"/>
      <c r="W726" s="15"/>
    </row>
    <row r="727">
      <c r="J727" s="15"/>
      <c r="V727" s="15"/>
      <c r="W727" s="15"/>
    </row>
    <row r="728">
      <c r="J728" s="15"/>
      <c r="V728" s="15"/>
      <c r="W728" s="15"/>
    </row>
    <row r="729">
      <c r="J729" s="15"/>
      <c r="V729" s="15"/>
      <c r="W729" s="15"/>
    </row>
    <row r="730">
      <c r="J730" s="15"/>
      <c r="V730" s="15"/>
      <c r="W730" s="15"/>
    </row>
    <row r="731">
      <c r="J731" s="15"/>
      <c r="V731" s="15"/>
      <c r="W731" s="15"/>
    </row>
    <row r="732">
      <c r="J732" s="15"/>
      <c r="V732" s="15"/>
      <c r="W732" s="15"/>
    </row>
    <row r="733">
      <c r="J733" s="15"/>
      <c r="V733" s="15"/>
      <c r="W733" s="15"/>
    </row>
    <row r="734">
      <c r="J734" s="15"/>
      <c r="V734" s="15"/>
      <c r="W734" s="15"/>
    </row>
    <row r="735">
      <c r="J735" s="15"/>
      <c r="V735" s="15"/>
      <c r="W735" s="15"/>
    </row>
    <row r="736">
      <c r="J736" s="15"/>
      <c r="V736" s="15"/>
      <c r="W736" s="15"/>
    </row>
    <row r="737">
      <c r="J737" s="15"/>
      <c r="V737" s="15"/>
      <c r="W737" s="15"/>
    </row>
    <row r="738">
      <c r="J738" s="15"/>
      <c r="V738" s="15"/>
      <c r="W738" s="15"/>
    </row>
    <row r="739">
      <c r="J739" s="15"/>
      <c r="V739" s="15"/>
      <c r="W739" s="15"/>
    </row>
    <row r="740">
      <c r="J740" s="15"/>
      <c r="V740" s="15"/>
      <c r="W740" s="15"/>
    </row>
    <row r="741">
      <c r="J741" s="15"/>
      <c r="V741" s="15"/>
      <c r="W741" s="15"/>
    </row>
    <row r="742">
      <c r="J742" s="15"/>
      <c r="V742" s="15"/>
      <c r="W742" s="15"/>
    </row>
    <row r="743">
      <c r="J743" s="15"/>
      <c r="V743" s="15"/>
      <c r="W743" s="15"/>
    </row>
    <row r="744">
      <c r="J744" s="15"/>
      <c r="V744" s="15"/>
      <c r="W744" s="15"/>
    </row>
    <row r="745">
      <c r="J745" s="15"/>
      <c r="V745" s="15"/>
      <c r="W745" s="15"/>
    </row>
    <row r="746">
      <c r="J746" s="15"/>
      <c r="V746" s="15"/>
      <c r="W746" s="15"/>
    </row>
    <row r="747">
      <c r="J747" s="15"/>
      <c r="V747" s="15"/>
      <c r="W747" s="15"/>
    </row>
    <row r="748">
      <c r="J748" s="15"/>
      <c r="V748" s="15"/>
      <c r="W748" s="15"/>
    </row>
    <row r="749">
      <c r="J749" s="15"/>
      <c r="V749" s="15"/>
      <c r="W749" s="15"/>
    </row>
    <row r="750">
      <c r="J750" s="15"/>
      <c r="V750" s="15"/>
      <c r="W750" s="15"/>
    </row>
    <row r="751">
      <c r="J751" s="15"/>
      <c r="V751" s="15"/>
      <c r="W751" s="15"/>
    </row>
    <row r="752">
      <c r="J752" s="15"/>
      <c r="V752" s="15"/>
      <c r="W752" s="15"/>
    </row>
    <row r="753">
      <c r="J753" s="15"/>
      <c r="V753" s="15"/>
      <c r="W753" s="15"/>
    </row>
    <row r="754">
      <c r="J754" s="15"/>
      <c r="V754" s="15"/>
      <c r="W754" s="15"/>
    </row>
    <row r="755">
      <c r="J755" s="15"/>
      <c r="V755" s="15"/>
      <c r="W755" s="15"/>
    </row>
    <row r="756">
      <c r="J756" s="15"/>
      <c r="V756" s="15"/>
      <c r="W756" s="15"/>
    </row>
    <row r="757">
      <c r="J757" s="15"/>
      <c r="V757" s="15"/>
      <c r="W757" s="15"/>
    </row>
    <row r="758">
      <c r="J758" s="15"/>
      <c r="V758" s="15"/>
      <c r="W758" s="15"/>
    </row>
    <row r="759">
      <c r="J759" s="15"/>
      <c r="V759" s="15"/>
      <c r="W759" s="15"/>
    </row>
    <row r="760">
      <c r="J760" s="15"/>
      <c r="V760" s="15"/>
      <c r="W760" s="15"/>
    </row>
    <row r="761">
      <c r="J761" s="15"/>
      <c r="V761" s="15"/>
      <c r="W761" s="15"/>
    </row>
    <row r="762">
      <c r="J762" s="15"/>
      <c r="V762" s="15"/>
      <c r="W762" s="15"/>
    </row>
    <row r="763">
      <c r="J763" s="15"/>
      <c r="V763" s="15"/>
      <c r="W763" s="15"/>
    </row>
    <row r="764">
      <c r="J764" s="15"/>
      <c r="V764" s="15"/>
      <c r="W764" s="15"/>
    </row>
    <row r="765">
      <c r="J765" s="15"/>
      <c r="V765" s="15"/>
      <c r="W765" s="15"/>
    </row>
    <row r="766">
      <c r="J766" s="15"/>
      <c r="V766" s="15"/>
      <c r="W766" s="15"/>
    </row>
    <row r="767">
      <c r="J767" s="15"/>
      <c r="V767" s="15"/>
      <c r="W767" s="15"/>
    </row>
    <row r="768">
      <c r="J768" s="15"/>
      <c r="V768" s="15"/>
      <c r="W768" s="15"/>
    </row>
    <row r="769">
      <c r="J769" s="15"/>
      <c r="V769" s="15"/>
      <c r="W769" s="15"/>
    </row>
    <row r="770">
      <c r="J770" s="15"/>
      <c r="V770" s="15"/>
      <c r="W770" s="15"/>
    </row>
    <row r="771">
      <c r="J771" s="15"/>
      <c r="V771" s="15"/>
      <c r="W771" s="15"/>
    </row>
    <row r="772">
      <c r="J772" s="15"/>
      <c r="V772" s="15"/>
      <c r="W772" s="15"/>
    </row>
    <row r="773">
      <c r="J773" s="15"/>
      <c r="V773" s="15"/>
      <c r="W773" s="15"/>
    </row>
    <row r="774">
      <c r="J774" s="15"/>
      <c r="V774" s="15"/>
      <c r="W774" s="15"/>
    </row>
    <row r="775">
      <c r="J775" s="15"/>
      <c r="V775" s="15"/>
      <c r="W775" s="15"/>
    </row>
    <row r="776">
      <c r="J776" s="15"/>
      <c r="V776" s="15"/>
      <c r="W776" s="15"/>
    </row>
    <row r="777">
      <c r="J777" s="15"/>
      <c r="V777" s="15"/>
      <c r="W777" s="15"/>
    </row>
    <row r="778">
      <c r="J778" s="15"/>
      <c r="V778" s="15"/>
      <c r="W778" s="15"/>
    </row>
    <row r="779">
      <c r="J779" s="15"/>
      <c r="V779" s="15"/>
      <c r="W779" s="15"/>
    </row>
    <row r="780">
      <c r="J780" s="15"/>
      <c r="V780" s="15"/>
      <c r="W780" s="15"/>
    </row>
    <row r="781">
      <c r="J781" s="15"/>
      <c r="V781" s="15"/>
      <c r="W781" s="15"/>
    </row>
    <row r="782">
      <c r="J782" s="15"/>
      <c r="V782" s="15"/>
      <c r="W782" s="15"/>
    </row>
    <row r="783">
      <c r="J783" s="15"/>
      <c r="V783" s="15"/>
      <c r="W783" s="15"/>
    </row>
    <row r="784">
      <c r="J784" s="15"/>
      <c r="V784" s="15"/>
      <c r="W784" s="15"/>
    </row>
    <row r="785">
      <c r="J785" s="15"/>
      <c r="V785" s="15"/>
      <c r="W785" s="15"/>
    </row>
    <row r="786">
      <c r="J786" s="15"/>
      <c r="V786" s="15"/>
      <c r="W786" s="15"/>
    </row>
    <row r="787">
      <c r="J787" s="15"/>
      <c r="V787" s="15"/>
      <c r="W787" s="15"/>
    </row>
    <row r="788">
      <c r="J788" s="15"/>
      <c r="V788" s="15"/>
      <c r="W788" s="15"/>
    </row>
    <row r="789">
      <c r="J789" s="15"/>
      <c r="V789" s="15"/>
      <c r="W789" s="15"/>
    </row>
    <row r="790">
      <c r="J790" s="15"/>
      <c r="V790" s="15"/>
      <c r="W790" s="15"/>
    </row>
    <row r="791">
      <c r="J791" s="15"/>
      <c r="V791" s="15"/>
      <c r="W791" s="15"/>
    </row>
    <row r="792">
      <c r="J792" s="15"/>
      <c r="V792" s="15"/>
      <c r="W792" s="15"/>
    </row>
    <row r="793">
      <c r="J793" s="15"/>
      <c r="V793" s="15"/>
      <c r="W793" s="15"/>
    </row>
    <row r="794">
      <c r="J794" s="15"/>
      <c r="V794" s="15"/>
      <c r="W794" s="15"/>
    </row>
    <row r="795">
      <c r="J795" s="15"/>
      <c r="V795" s="15"/>
      <c r="W795" s="15"/>
    </row>
    <row r="796">
      <c r="J796" s="15"/>
      <c r="V796" s="15"/>
      <c r="W796" s="15"/>
    </row>
    <row r="797">
      <c r="J797" s="15"/>
      <c r="V797" s="15"/>
      <c r="W797" s="15"/>
    </row>
    <row r="798">
      <c r="J798" s="15"/>
      <c r="V798" s="15"/>
      <c r="W798" s="15"/>
    </row>
    <row r="799">
      <c r="J799" s="15"/>
      <c r="V799" s="15"/>
      <c r="W799" s="15"/>
    </row>
    <row r="800">
      <c r="J800" s="15"/>
      <c r="V800" s="15"/>
      <c r="W800" s="15"/>
    </row>
    <row r="801">
      <c r="J801" s="15"/>
      <c r="V801" s="15"/>
      <c r="W801" s="15"/>
    </row>
    <row r="802">
      <c r="J802" s="15"/>
      <c r="V802" s="15"/>
      <c r="W802" s="15"/>
    </row>
    <row r="803">
      <c r="J803" s="15"/>
      <c r="V803" s="15"/>
      <c r="W803" s="15"/>
    </row>
    <row r="804">
      <c r="J804" s="15"/>
      <c r="V804" s="15"/>
      <c r="W804" s="15"/>
    </row>
    <row r="805">
      <c r="J805" s="15"/>
      <c r="V805" s="15"/>
      <c r="W805" s="15"/>
    </row>
    <row r="806">
      <c r="J806" s="15"/>
      <c r="V806" s="15"/>
      <c r="W806" s="15"/>
    </row>
    <row r="807">
      <c r="J807" s="15"/>
      <c r="V807" s="15"/>
      <c r="W807" s="15"/>
    </row>
    <row r="808">
      <c r="J808" s="15"/>
      <c r="V808" s="15"/>
      <c r="W808" s="15"/>
    </row>
    <row r="809">
      <c r="J809" s="15"/>
      <c r="V809" s="15"/>
      <c r="W809" s="15"/>
    </row>
    <row r="810">
      <c r="J810" s="15"/>
      <c r="V810" s="15"/>
      <c r="W810" s="15"/>
    </row>
    <row r="811">
      <c r="J811" s="15"/>
      <c r="V811" s="15"/>
      <c r="W811" s="15"/>
    </row>
    <row r="812">
      <c r="J812" s="15"/>
      <c r="V812" s="15"/>
      <c r="W812" s="15"/>
    </row>
    <row r="813">
      <c r="J813" s="15"/>
      <c r="V813" s="15"/>
      <c r="W813" s="15"/>
    </row>
    <row r="814">
      <c r="J814" s="15"/>
      <c r="V814" s="15"/>
      <c r="W814" s="15"/>
    </row>
    <row r="815">
      <c r="J815" s="15"/>
      <c r="V815" s="15"/>
      <c r="W815" s="15"/>
    </row>
    <row r="816">
      <c r="J816" s="15"/>
      <c r="V816" s="15"/>
      <c r="W816" s="15"/>
    </row>
    <row r="817">
      <c r="J817" s="15"/>
      <c r="V817" s="15"/>
      <c r="W817" s="15"/>
    </row>
    <row r="818">
      <c r="J818" s="15"/>
      <c r="V818" s="15"/>
      <c r="W818" s="15"/>
    </row>
    <row r="819">
      <c r="J819" s="15"/>
      <c r="V819" s="15"/>
      <c r="W819" s="15"/>
    </row>
    <row r="820">
      <c r="J820" s="15"/>
      <c r="V820" s="15"/>
      <c r="W820" s="15"/>
    </row>
    <row r="821">
      <c r="J821" s="15"/>
      <c r="V821" s="15"/>
      <c r="W821" s="15"/>
    </row>
    <row r="822">
      <c r="J822" s="15"/>
      <c r="V822" s="15"/>
      <c r="W822" s="15"/>
    </row>
    <row r="823">
      <c r="J823" s="15"/>
      <c r="V823" s="15"/>
      <c r="W823" s="15"/>
    </row>
    <row r="824">
      <c r="J824" s="15"/>
      <c r="V824" s="15"/>
      <c r="W824" s="15"/>
    </row>
    <row r="825">
      <c r="J825" s="15"/>
      <c r="V825" s="15"/>
      <c r="W825" s="15"/>
    </row>
    <row r="826">
      <c r="J826" s="15"/>
      <c r="V826" s="15"/>
      <c r="W826" s="15"/>
    </row>
    <row r="827">
      <c r="J827" s="15"/>
      <c r="V827" s="15"/>
      <c r="W827" s="15"/>
    </row>
    <row r="828">
      <c r="J828" s="15"/>
      <c r="V828" s="15"/>
      <c r="W828" s="15"/>
    </row>
    <row r="829">
      <c r="J829" s="15"/>
      <c r="V829" s="15"/>
      <c r="W829" s="15"/>
    </row>
    <row r="830">
      <c r="J830" s="15"/>
      <c r="V830" s="15"/>
      <c r="W830" s="15"/>
    </row>
    <row r="831">
      <c r="J831" s="15"/>
      <c r="V831" s="15"/>
      <c r="W831" s="15"/>
    </row>
    <row r="832">
      <c r="J832" s="15"/>
      <c r="V832" s="15"/>
      <c r="W832" s="15"/>
    </row>
    <row r="833">
      <c r="J833" s="15"/>
      <c r="V833" s="15"/>
      <c r="W833" s="15"/>
    </row>
    <row r="834">
      <c r="J834" s="15"/>
      <c r="V834" s="15"/>
      <c r="W834" s="15"/>
    </row>
    <row r="835">
      <c r="J835" s="15"/>
      <c r="V835" s="15"/>
      <c r="W835" s="15"/>
    </row>
    <row r="836">
      <c r="J836" s="15"/>
      <c r="V836" s="15"/>
      <c r="W836" s="15"/>
    </row>
    <row r="837">
      <c r="J837" s="15"/>
      <c r="V837" s="15"/>
      <c r="W837" s="15"/>
    </row>
    <row r="838">
      <c r="J838" s="15"/>
      <c r="V838" s="15"/>
      <c r="W838" s="15"/>
    </row>
    <row r="839">
      <c r="J839" s="15"/>
      <c r="V839" s="15"/>
      <c r="W839" s="15"/>
    </row>
    <row r="840">
      <c r="J840" s="15"/>
      <c r="V840" s="15"/>
      <c r="W840" s="15"/>
    </row>
    <row r="841">
      <c r="J841" s="15"/>
      <c r="V841" s="15"/>
      <c r="W841" s="15"/>
    </row>
    <row r="842">
      <c r="J842" s="15"/>
      <c r="V842" s="15"/>
      <c r="W842" s="15"/>
    </row>
    <row r="843">
      <c r="J843" s="15"/>
      <c r="V843" s="15"/>
      <c r="W843" s="15"/>
    </row>
    <row r="844">
      <c r="J844" s="15"/>
      <c r="V844" s="15"/>
      <c r="W844" s="15"/>
    </row>
    <row r="845">
      <c r="J845" s="15"/>
      <c r="V845" s="15"/>
      <c r="W845" s="15"/>
    </row>
    <row r="846">
      <c r="J846" s="15"/>
      <c r="V846" s="15"/>
      <c r="W846" s="15"/>
    </row>
    <row r="847">
      <c r="J847" s="15"/>
      <c r="V847" s="15"/>
      <c r="W847" s="15"/>
    </row>
    <row r="848">
      <c r="J848" s="15"/>
      <c r="V848" s="15"/>
      <c r="W848" s="15"/>
    </row>
    <row r="849">
      <c r="J849" s="15"/>
      <c r="V849" s="15"/>
      <c r="W849" s="15"/>
    </row>
    <row r="850">
      <c r="J850" s="15"/>
      <c r="V850" s="15"/>
      <c r="W850" s="15"/>
    </row>
    <row r="851">
      <c r="J851" s="15"/>
      <c r="V851" s="15"/>
      <c r="W851" s="15"/>
    </row>
    <row r="852">
      <c r="J852" s="15"/>
      <c r="V852" s="15"/>
      <c r="W852" s="15"/>
    </row>
    <row r="853">
      <c r="J853" s="15"/>
      <c r="V853" s="15"/>
      <c r="W853" s="15"/>
    </row>
    <row r="854">
      <c r="J854" s="15"/>
      <c r="V854" s="15"/>
      <c r="W854" s="15"/>
    </row>
    <row r="855">
      <c r="J855" s="15"/>
      <c r="V855" s="15"/>
      <c r="W855" s="15"/>
    </row>
    <row r="856">
      <c r="J856" s="15"/>
      <c r="V856" s="15"/>
      <c r="W856" s="15"/>
    </row>
    <row r="857">
      <c r="J857" s="15"/>
      <c r="V857" s="15"/>
      <c r="W857" s="15"/>
    </row>
    <row r="858">
      <c r="J858" s="15"/>
      <c r="V858" s="15"/>
      <c r="W858" s="15"/>
    </row>
    <row r="859">
      <c r="J859" s="15"/>
      <c r="V859" s="15"/>
      <c r="W859" s="15"/>
    </row>
    <row r="860">
      <c r="J860" s="15"/>
      <c r="V860" s="15"/>
      <c r="W860" s="15"/>
    </row>
    <row r="861">
      <c r="J861" s="15"/>
      <c r="V861" s="15"/>
      <c r="W861" s="15"/>
    </row>
    <row r="862">
      <c r="J862" s="15"/>
      <c r="V862" s="15"/>
      <c r="W862" s="15"/>
    </row>
    <row r="863">
      <c r="J863" s="15"/>
      <c r="V863" s="15"/>
      <c r="W863" s="15"/>
    </row>
    <row r="864">
      <c r="J864" s="15"/>
      <c r="V864" s="15"/>
      <c r="W864" s="15"/>
    </row>
    <row r="865">
      <c r="J865" s="15"/>
      <c r="V865" s="15"/>
      <c r="W865" s="15"/>
    </row>
    <row r="866">
      <c r="J866" s="15"/>
      <c r="V866" s="15"/>
      <c r="W866" s="15"/>
    </row>
    <row r="867">
      <c r="J867" s="15"/>
      <c r="V867" s="15"/>
      <c r="W867" s="15"/>
    </row>
    <row r="868">
      <c r="J868" s="15"/>
      <c r="V868" s="15"/>
      <c r="W868" s="15"/>
    </row>
    <row r="869">
      <c r="J869" s="15"/>
      <c r="V869" s="15"/>
      <c r="W869" s="15"/>
    </row>
    <row r="870">
      <c r="J870" s="15"/>
      <c r="V870" s="15"/>
      <c r="W870" s="15"/>
    </row>
    <row r="871">
      <c r="J871" s="15"/>
      <c r="V871" s="15"/>
      <c r="W871" s="15"/>
    </row>
    <row r="872">
      <c r="J872" s="15"/>
      <c r="V872" s="15"/>
      <c r="W872" s="15"/>
    </row>
    <row r="873">
      <c r="J873" s="15"/>
      <c r="V873" s="15"/>
      <c r="W873" s="15"/>
    </row>
    <row r="874">
      <c r="J874" s="15"/>
      <c r="V874" s="15"/>
      <c r="W874" s="15"/>
    </row>
    <row r="875">
      <c r="J875" s="15"/>
      <c r="V875" s="15"/>
      <c r="W875" s="15"/>
    </row>
    <row r="876">
      <c r="J876" s="15"/>
      <c r="V876" s="15"/>
      <c r="W876" s="15"/>
    </row>
    <row r="877">
      <c r="J877" s="15"/>
      <c r="V877" s="15"/>
      <c r="W877" s="15"/>
    </row>
    <row r="878">
      <c r="J878" s="15"/>
      <c r="V878" s="15"/>
      <c r="W878" s="15"/>
    </row>
    <row r="879">
      <c r="J879" s="15"/>
      <c r="V879" s="15"/>
      <c r="W879" s="15"/>
    </row>
    <row r="880">
      <c r="J880" s="15"/>
      <c r="V880" s="15"/>
      <c r="W880" s="15"/>
    </row>
    <row r="881">
      <c r="J881" s="15"/>
      <c r="V881" s="15"/>
      <c r="W881" s="15"/>
    </row>
    <row r="882">
      <c r="J882" s="15"/>
      <c r="V882" s="15"/>
      <c r="W882" s="15"/>
    </row>
    <row r="883">
      <c r="J883" s="15"/>
      <c r="V883" s="15"/>
      <c r="W883" s="15"/>
    </row>
    <row r="884">
      <c r="J884" s="15"/>
      <c r="V884" s="15"/>
      <c r="W884" s="15"/>
    </row>
    <row r="885">
      <c r="J885" s="15"/>
      <c r="V885" s="15"/>
      <c r="W885" s="15"/>
    </row>
    <row r="886">
      <c r="J886" s="15"/>
      <c r="V886" s="15"/>
      <c r="W886" s="15"/>
    </row>
    <row r="887">
      <c r="J887" s="15"/>
      <c r="V887" s="15"/>
      <c r="W887" s="15"/>
    </row>
    <row r="888">
      <c r="J888" s="15"/>
      <c r="V888" s="15"/>
      <c r="W888" s="15"/>
    </row>
    <row r="889">
      <c r="J889" s="15"/>
      <c r="V889" s="15"/>
      <c r="W889" s="15"/>
    </row>
    <row r="890">
      <c r="J890" s="15"/>
      <c r="V890" s="15"/>
      <c r="W890" s="15"/>
    </row>
    <row r="891">
      <c r="J891" s="15"/>
      <c r="V891" s="15"/>
      <c r="W891" s="15"/>
    </row>
    <row r="892">
      <c r="J892" s="15"/>
      <c r="V892" s="15"/>
      <c r="W892" s="15"/>
    </row>
    <row r="893">
      <c r="J893" s="15"/>
      <c r="V893" s="15"/>
      <c r="W893" s="15"/>
    </row>
    <row r="894">
      <c r="J894" s="15"/>
      <c r="V894" s="15"/>
      <c r="W894" s="15"/>
    </row>
    <row r="895">
      <c r="J895" s="15"/>
      <c r="V895" s="15"/>
      <c r="W895" s="15"/>
    </row>
    <row r="896">
      <c r="J896" s="15"/>
      <c r="V896" s="15"/>
      <c r="W896" s="15"/>
    </row>
    <row r="897">
      <c r="J897" s="15"/>
      <c r="V897" s="15"/>
      <c r="W897" s="15"/>
    </row>
    <row r="898">
      <c r="J898" s="15"/>
      <c r="V898" s="15"/>
      <c r="W898" s="15"/>
    </row>
    <row r="899">
      <c r="J899" s="15"/>
      <c r="V899" s="15"/>
      <c r="W899" s="15"/>
    </row>
    <row r="900">
      <c r="J900" s="15"/>
      <c r="V900" s="15"/>
      <c r="W900" s="15"/>
    </row>
    <row r="901">
      <c r="J901" s="15"/>
      <c r="V901" s="15"/>
      <c r="W901" s="15"/>
    </row>
    <row r="902">
      <c r="J902" s="15"/>
      <c r="V902" s="15"/>
      <c r="W902" s="15"/>
    </row>
    <row r="903">
      <c r="J903" s="15"/>
      <c r="V903" s="15"/>
      <c r="W903" s="15"/>
    </row>
    <row r="904">
      <c r="J904" s="15"/>
      <c r="V904" s="15"/>
      <c r="W904" s="15"/>
    </row>
    <row r="905">
      <c r="J905" s="15"/>
      <c r="V905" s="15"/>
      <c r="W905" s="15"/>
    </row>
    <row r="906">
      <c r="J906" s="15"/>
      <c r="V906" s="15"/>
      <c r="W906" s="15"/>
    </row>
    <row r="907">
      <c r="J907" s="15"/>
      <c r="V907" s="15"/>
      <c r="W907" s="15"/>
    </row>
    <row r="908">
      <c r="J908" s="15"/>
      <c r="V908" s="15"/>
      <c r="W908" s="15"/>
    </row>
    <row r="909">
      <c r="J909" s="15"/>
      <c r="V909" s="15"/>
      <c r="W909" s="15"/>
    </row>
    <row r="910">
      <c r="J910" s="15"/>
      <c r="V910" s="15"/>
      <c r="W910" s="15"/>
    </row>
    <row r="911">
      <c r="J911" s="15"/>
      <c r="V911" s="15"/>
      <c r="W911" s="15"/>
    </row>
    <row r="912">
      <c r="J912" s="15"/>
      <c r="V912" s="15"/>
      <c r="W912" s="15"/>
    </row>
    <row r="913">
      <c r="J913" s="15"/>
      <c r="V913" s="15"/>
      <c r="W913" s="15"/>
    </row>
    <row r="914">
      <c r="J914" s="15"/>
      <c r="V914" s="15"/>
      <c r="W914" s="15"/>
    </row>
    <row r="915">
      <c r="J915" s="15"/>
      <c r="V915" s="15"/>
      <c r="W915" s="15"/>
    </row>
    <row r="916">
      <c r="J916" s="15"/>
      <c r="V916" s="15"/>
      <c r="W916" s="15"/>
    </row>
    <row r="917">
      <c r="J917" s="15"/>
      <c r="V917" s="15"/>
      <c r="W917" s="15"/>
    </row>
    <row r="918">
      <c r="J918" s="15"/>
      <c r="V918" s="15"/>
      <c r="W918" s="15"/>
    </row>
    <row r="919">
      <c r="J919" s="15"/>
      <c r="V919" s="15"/>
      <c r="W919" s="15"/>
    </row>
    <row r="920">
      <c r="J920" s="15"/>
      <c r="V920" s="15"/>
      <c r="W920" s="15"/>
    </row>
    <row r="921">
      <c r="J921" s="15"/>
      <c r="V921" s="15"/>
      <c r="W921" s="15"/>
    </row>
    <row r="922">
      <c r="J922" s="15"/>
      <c r="V922" s="15"/>
      <c r="W922" s="15"/>
    </row>
    <row r="923">
      <c r="J923" s="15"/>
      <c r="V923" s="15"/>
      <c r="W923" s="15"/>
    </row>
    <row r="924">
      <c r="J924" s="15"/>
      <c r="V924" s="15"/>
      <c r="W924" s="15"/>
    </row>
    <row r="925">
      <c r="J925" s="15"/>
      <c r="V925" s="15"/>
      <c r="W925" s="15"/>
    </row>
    <row r="926">
      <c r="J926" s="15"/>
      <c r="V926" s="15"/>
      <c r="W926" s="15"/>
    </row>
    <row r="927">
      <c r="J927" s="15"/>
      <c r="V927" s="15"/>
      <c r="W927" s="15"/>
    </row>
    <row r="928">
      <c r="J928" s="15"/>
      <c r="V928" s="15"/>
      <c r="W928" s="15"/>
    </row>
    <row r="929">
      <c r="J929" s="15"/>
      <c r="V929" s="15"/>
      <c r="W929" s="15"/>
    </row>
    <row r="930">
      <c r="J930" s="15"/>
      <c r="V930" s="15"/>
      <c r="W930" s="15"/>
    </row>
    <row r="931">
      <c r="J931" s="15"/>
      <c r="V931" s="15"/>
      <c r="W931" s="15"/>
    </row>
    <row r="932">
      <c r="J932" s="15"/>
      <c r="V932" s="15"/>
      <c r="W932" s="15"/>
    </row>
    <row r="933">
      <c r="J933" s="15"/>
      <c r="V933" s="15"/>
      <c r="W933" s="15"/>
    </row>
    <row r="934">
      <c r="J934" s="15"/>
      <c r="V934" s="15"/>
      <c r="W934" s="15"/>
    </row>
    <row r="935">
      <c r="J935" s="15"/>
      <c r="V935" s="15"/>
      <c r="W935" s="15"/>
    </row>
    <row r="936">
      <c r="J936" s="15"/>
      <c r="V936" s="15"/>
      <c r="W936" s="15"/>
    </row>
    <row r="937">
      <c r="J937" s="15"/>
      <c r="V937" s="15"/>
      <c r="W937" s="15"/>
    </row>
    <row r="938">
      <c r="J938" s="15"/>
      <c r="V938" s="15"/>
      <c r="W938" s="15"/>
    </row>
    <row r="939">
      <c r="J939" s="15"/>
      <c r="V939" s="15"/>
      <c r="W939" s="15"/>
    </row>
    <row r="940">
      <c r="J940" s="15"/>
      <c r="V940" s="15"/>
      <c r="W940" s="15"/>
    </row>
    <row r="941">
      <c r="J941" s="15"/>
      <c r="V941" s="15"/>
      <c r="W941" s="15"/>
    </row>
    <row r="942">
      <c r="J942" s="15"/>
      <c r="V942" s="15"/>
      <c r="W942" s="15"/>
    </row>
    <row r="943">
      <c r="J943" s="15"/>
      <c r="V943" s="15"/>
      <c r="W943" s="15"/>
    </row>
    <row r="944">
      <c r="J944" s="15"/>
      <c r="V944" s="15"/>
      <c r="W944" s="15"/>
    </row>
    <row r="945">
      <c r="J945" s="15"/>
      <c r="V945" s="15"/>
      <c r="W945" s="15"/>
    </row>
    <row r="946">
      <c r="J946" s="15"/>
      <c r="V946" s="15"/>
      <c r="W946" s="15"/>
    </row>
    <row r="947">
      <c r="J947" s="15"/>
      <c r="V947" s="15"/>
      <c r="W947" s="15"/>
    </row>
    <row r="948">
      <c r="J948" s="15"/>
      <c r="V948" s="15"/>
      <c r="W948" s="15"/>
    </row>
    <row r="949">
      <c r="J949" s="15"/>
      <c r="V949" s="15"/>
      <c r="W949" s="15"/>
    </row>
    <row r="950">
      <c r="J950" s="15"/>
      <c r="V950" s="15"/>
      <c r="W950" s="15"/>
    </row>
    <row r="951">
      <c r="J951" s="15"/>
      <c r="V951" s="15"/>
      <c r="W951" s="15"/>
    </row>
    <row r="952">
      <c r="J952" s="15"/>
      <c r="V952" s="15"/>
      <c r="W952" s="15"/>
    </row>
    <row r="953">
      <c r="J953" s="15"/>
      <c r="V953" s="15"/>
      <c r="W953" s="15"/>
    </row>
    <row r="954">
      <c r="J954" s="15"/>
      <c r="V954" s="15"/>
      <c r="W954" s="15"/>
    </row>
    <row r="955">
      <c r="J955" s="15"/>
      <c r="V955" s="15"/>
      <c r="W955" s="15"/>
    </row>
    <row r="956">
      <c r="J956" s="15"/>
      <c r="V956" s="15"/>
      <c r="W956" s="15"/>
    </row>
    <row r="957">
      <c r="J957" s="15"/>
      <c r="V957" s="15"/>
      <c r="W957" s="15"/>
    </row>
    <row r="958">
      <c r="J958" s="15"/>
      <c r="V958" s="15"/>
      <c r="W958" s="15"/>
    </row>
    <row r="959">
      <c r="J959" s="15"/>
      <c r="V959" s="15"/>
      <c r="W959" s="15"/>
    </row>
    <row r="960">
      <c r="J960" s="15"/>
      <c r="V960" s="15"/>
      <c r="W960" s="15"/>
    </row>
    <row r="961">
      <c r="J961" s="15"/>
      <c r="V961" s="15"/>
      <c r="W961" s="15"/>
    </row>
    <row r="962">
      <c r="J962" s="15"/>
      <c r="V962" s="15"/>
      <c r="W962" s="15"/>
    </row>
    <row r="963">
      <c r="J963" s="15"/>
      <c r="V963" s="15"/>
      <c r="W963" s="15"/>
    </row>
    <row r="964">
      <c r="J964" s="15"/>
      <c r="V964" s="15"/>
      <c r="W964" s="15"/>
    </row>
    <row r="965">
      <c r="J965" s="15"/>
      <c r="V965" s="15"/>
      <c r="W965" s="15"/>
    </row>
    <row r="966">
      <c r="J966" s="15"/>
      <c r="V966" s="15"/>
      <c r="W966" s="15"/>
    </row>
    <row r="967">
      <c r="J967" s="15"/>
      <c r="V967" s="15"/>
      <c r="W967" s="15"/>
    </row>
    <row r="968">
      <c r="J968" s="15"/>
      <c r="V968" s="15"/>
      <c r="W968" s="15"/>
    </row>
    <row r="969">
      <c r="J969" s="15"/>
      <c r="V969" s="15"/>
      <c r="W969" s="15"/>
    </row>
    <row r="970">
      <c r="J970" s="15"/>
      <c r="V970" s="15"/>
      <c r="W970" s="15"/>
    </row>
    <row r="971">
      <c r="J971" s="15"/>
      <c r="V971" s="15"/>
      <c r="W971" s="15"/>
    </row>
    <row r="972">
      <c r="J972" s="15"/>
      <c r="V972" s="15"/>
      <c r="W972" s="15"/>
    </row>
    <row r="973">
      <c r="J973" s="15"/>
      <c r="V973" s="15"/>
      <c r="W973" s="15"/>
    </row>
    <row r="974">
      <c r="J974" s="15"/>
      <c r="V974" s="15"/>
      <c r="W974" s="15"/>
    </row>
    <row r="975">
      <c r="J975" s="15"/>
      <c r="V975" s="15"/>
      <c r="W975" s="15"/>
    </row>
    <row r="976">
      <c r="J976" s="15"/>
      <c r="V976" s="15"/>
      <c r="W976" s="15"/>
    </row>
    <row r="977">
      <c r="J977" s="15"/>
      <c r="V977" s="15"/>
      <c r="W977" s="15"/>
    </row>
    <row r="978">
      <c r="J978" s="15"/>
      <c r="V978" s="15"/>
      <c r="W978" s="15"/>
    </row>
    <row r="979">
      <c r="J979" s="15"/>
      <c r="V979" s="15"/>
      <c r="W979" s="15"/>
    </row>
    <row r="980">
      <c r="J980" s="15"/>
      <c r="V980" s="15"/>
      <c r="W980" s="15"/>
    </row>
    <row r="981">
      <c r="J981" s="15"/>
      <c r="V981" s="15"/>
      <c r="W981" s="15"/>
    </row>
    <row r="982">
      <c r="J982" s="15"/>
      <c r="V982" s="15"/>
      <c r="W982" s="15"/>
    </row>
    <row r="983">
      <c r="J983" s="15"/>
      <c r="V983" s="15"/>
      <c r="W983" s="15"/>
    </row>
    <row r="984">
      <c r="J984" s="15"/>
      <c r="V984" s="15"/>
      <c r="W984" s="15"/>
    </row>
    <row r="985">
      <c r="J985" s="15"/>
      <c r="V985" s="15"/>
      <c r="W985" s="15"/>
    </row>
    <row r="986">
      <c r="J986" s="15"/>
      <c r="V986" s="15"/>
      <c r="W986" s="15"/>
    </row>
    <row r="987">
      <c r="J987" s="15"/>
      <c r="V987" s="15"/>
      <c r="W987" s="15"/>
    </row>
    <row r="988">
      <c r="J988" s="15"/>
      <c r="V988" s="15"/>
      <c r="W988" s="15"/>
    </row>
    <row r="989">
      <c r="J989" s="15"/>
      <c r="V989" s="15"/>
      <c r="W989" s="15"/>
    </row>
    <row r="990">
      <c r="J990" s="15"/>
      <c r="V990" s="15"/>
      <c r="W990" s="15"/>
    </row>
    <row r="991">
      <c r="J991" s="15"/>
      <c r="V991" s="15"/>
      <c r="W991" s="15"/>
    </row>
    <row r="992">
      <c r="J992" s="15"/>
      <c r="V992" s="15"/>
      <c r="W992" s="15"/>
    </row>
    <row r="993">
      <c r="J993" s="15"/>
      <c r="V993" s="15"/>
      <c r="W993" s="15"/>
    </row>
    <row r="994">
      <c r="J994" s="15"/>
      <c r="V994" s="15"/>
      <c r="W994" s="15"/>
    </row>
    <row r="995">
      <c r="J995" s="15"/>
      <c r="V995" s="15"/>
      <c r="W995" s="15"/>
    </row>
    <row r="996">
      <c r="J996" s="15"/>
      <c r="V996" s="15"/>
      <c r="W996" s="15"/>
    </row>
    <row r="997">
      <c r="J997" s="15"/>
      <c r="V997" s="15"/>
      <c r="W997" s="15"/>
    </row>
    <row r="998">
      <c r="J998" s="15"/>
      <c r="V998" s="15"/>
      <c r="W998" s="15"/>
    </row>
  </sheetData>
  <autoFilter ref="$B$6:$J$36"/>
  <mergeCells count="4">
    <mergeCell ref="B2:C2"/>
    <mergeCell ref="L6:O6"/>
    <mergeCell ref="Q6:R6"/>
    <mergeCell ref="T6:X6"/>
  </mergeCells>
  <conditionalFormatting sqref="G7:G36">
    <cfRule type="colorScale" priority="1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C6:C34">
    <cfRule type="colorScale" priority="2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U8:U13">
    <cfRule type="cellIs" dxfId="0" priority="3" operator="lessThanOrEqual">
      <formula>MEDIAN($C$7:$C$34)</formula>
    </cfRule>
  </conditionalFormatting>
  <conditionalFormatting sqref="U8:U13">
    <cfRule type="cellIs" dxfId="1" priority="4" operator="greaterThan">
      <formula>MEDIAN($C$7:$C$34)</formula>
    </cfRule>
  </conditionalFormatting>
  <conditionalFormatting sqref="R9">
    <cfRule type="cellIs" dxfId="0" priority="5" operator="lessThanOrEqual">
      <formula>COUNT($B:$B) - (#REF! + #REF!)</formula>
    </cfRule>
  </conditionalFormatting>
  <conditionalFormatting sqref="R9">
    <cfRule type="cellIs" dxfId="1" priority="6" operator="greaterThan">
      <formula>COUNT($B:$B) - (#REF! + #REF!)</formula>
    </cfRule>
  </conditionalFormatting>
  <conditionalFormatting sqref="J7:J36">
    <cfRule type="cellIs" dxfId="0" priority="7" operator="equal">
      <formula>"Sim"</formula>
    </cfRule>
  </conditionalFormatting>
  <conditionalFormatting sqref="J7:J36">
    <cfRule type="cellIs" dxfId="1" priority="8" operator="equal">
      <formula>"Não"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13"/>
    <col customWidth="1" min="2" max="2" width="12.63"/>
    <col customWidth="1" min="3" max="3" width="10.88"/>
    <col customWidth="1" min="4" max="4" width="11.5"/>
    <col customWidth="1" min="5" max="6" width="8.38"/>
    <col customWidth="1" min="7" max="7" width="11.13"/>
    <col customWidth="1" min="8" max="9" width="10.0"/>
    <col customWidth="1" min="10" max="10" width="9.5"/>
    <col customWidth="1" min="11" max="11" width="1.5"/>
    <col customWidth="1" min="12" max="12" width="11.88"/>
    <col customWidth="1" min="13" max="13" width="10.25"/>
    <col customWidth="1" min="14" max="14" width="5.13"/>
    <col customWidth="1" min="15" max="15" width="10.13"/>
    <col customWidth="1" min="16" max="16" width="1.5"/>
    <col customWidth="1" min="17" max="17" width="14.38"/>
    <col customWidth="1" min="18" max="18" width="10.88"/>
    <col customWidth="1" min="19" max="19" width="1.38"/>
    <col customWidth="1" min="20" max="20" width="9.25"/>
    <col customWidth="1" min="21" max="21" width="9.13"/>
    <col customWidth="1" min="22" max="22" width="4.63"/>
    <col customWidth="1" min="23" max="23" width="8.38"/>
    <col customWidth="1" min="24" max="24" width="7.75"/>
    <col customWidth="1" min="25" max="25" width="2.63"/>
  </cols>
  <sheetData>
    <row r="1">
      <c r="J1" s="15"/>
      <c r="V1" s="15"/>
      <c r="W1" s="15"/>
    </row>
    <row r="2" ht="22.5" customHeight="1">
      <c r="B2" s="68" t="s">
        <v>40</v>
      </c>
      <c r="C2" s="27"/>
      <c r="J2" s="15"/>
      <c r="V2" s="15"/>
      <c r="W2" s="15"/>
    </row>
    <row r="3">
      <c r="B3" s="69" t="s">
        <v>41</v>
      </c>
      <c r="C3" s="70"/>
      <c r="J3" s="15"/>
      <c r="V3" s="15"/>
      <c r="W3" s="15"/>
    </row>
    <row r="4">
      <c r="B4" s="69" t="s">
        <v>42</v>
      </c>
      <c r="C4" s="71"/>
      <c r="J4" s="15"/>
      <c r="V4" s="15"/>
      <c r="W4" s="15"/>
    </row>
    <row r="5">
      <c r="C5" s="1"/>
      <c r="J5" s="15"/>
      <c r="V5" s="15"/>
      <c r="W5" s="15"/>
    </row>
    <row r="6" ht="35.25" customHeight="1">
      <c r="A6" s="72"/>
      <c r="B6" s="73" t="s">
        <v>25</v>
      </c>
      <c r="C6" s="73" t="s">
        <v>43</v>
      </c>
      <c r="D6" s="73" t="s">
        <v>44</v>
      </c>
      <c r="E6" s="73" t="s">
        <v>45</v>
      </c>
      <c r="F6" s="73" t="s">
        <v>46</v>
      </c>
      <c r="G6" s="73" t="s">
        <v>47</v>
      </c>
      <c r="H6" s="73" t="s">
        <v>48</v>
      </c>
      <c r="I6" s="73" t="s">
        <v>49</v>
      </c>
      <c r="J6" s="73" t="s">
        <v>50</v>
      </c>
      <c r="L6" s="74" t="s">
        <v>51</v>
      </c>
      <c r="M6" s="26"/>
      <c r="N6" s="26"/>
      <c r="O6" s="27"/>
      <c r="Q6" s="74" t="s">
        <v>52</v>
      </c>
      <c r="R6" s="27"/>
      <c r="S6" s="72"/>
      <c r="T6" s="72"/>
    </row>
    <row r="7">
      <c r="A7" s="39"/>
      <c r="B7" s="39">
        <v>46143.0</v>
      </c>
      <c r="C7" s="75"/>
      <c r="D7" s="75"/>
      <c r="E7" s="75"/>
      <c r="F7" s="75"/>
      <c r="G7" s="56" t="str">
        <f t="shared" ref="G7:G37" si="1">IF(SUM(D7:F7) = 0, , (SUM(D7:F7)))</f>
        <v/>
      </c>
      <c r="H7" s="76" t="str">
        <f t="shared" ref="H7:H34" si="2">IFERROR(G7/C7, )</f>
        <v/>
      </c>
      <c r="I7" s="77">
        <f t="shared" ref="I7:I37" si="3">IFERROR(H7/25 * ($C$3/10), )</f>
        <v>0</v>
      </c>
      <c r="J7" s="41" t="str">
        <f t="shared" ref="J7:J37" si="4">IF(B7 &gt; TODAY(), "", IF(G7 = "", "Não", "Sim"))
</f>
        <v/>
      </c>
      <c r="L7" s="78"/>
      <c r="M7" s="79" t="s">
        <v>53</v>
      </c>
      <c r="N7" s="80" t="s">
        <v>54</v>
      </c>
      <c r="O7" s="81" t="s">
        <v>55</v>
      </c>
      <c r="Q7" s="82"/>
      <c r="R7" s="69" t="s">
        <v>56</v>
      </c>
      <c r="T7" s="2"/>
      <c r="U7" s="2"/>
      <c r="V7" s="2"/>
      <c r="W7" s="2"/>
      <c r="X7" s="83"/>
      <c r="Y7" s="2"/>
    </row>
    <row r="8">
      <c r="A8" s="39"/>
      <c r="B8" s="39">
        <v>46144.0</v>
      </c>
      <c r="C8" s="75"/>
      <c r="D8" s="75"/>
      <c r="E8" s="75"/>
      <c r="F8" s="75"/>
      <c r="G8" s="56" t="str">
        <f t="shared" si="1"/>
        <v/>
      </c>
      <c r="H8" s="76" t="str">
        <f t="shared" si="2"/>
        <v/>
      </c>
      <c r="I8" s="77">
        <f t="shared" si="3"/>
        <v>0</v>
      </c>
      <c r="J8" s="41" t="str">
        <f t="shared" si="4"/>
        <v/>
      </c>
      <c r="L8" s="84" t="s">
        <v>0</v>
      </c>
      <c r="M8" s="85" t="str">
        <f> IFERROR(MEDIAN(C7:C999), )</f>
        <v/>
      </c>
      <c r="N8" s="86"/>
      <c r="O8" s="87"/>
      <c r="P8" s="88"/>
      <c r="Q8" s="89" t="s">
        <v>57</v>
      </c>
      <c r="R8" s="17">
        <f>Count(B:B)</f>
        <v>31</v>
      </c>
      <c r="T8" s="90"/>
      <c r="U8" s="91"/>
      <c r="V8" s="2"/>
      <c r="W8" s="91"/>
      <c r="X8" s="92"/>
      <c r="Y8" s="56"/>
    </row>
    <row r="9">
      <c r="A9" s="39"/>
      <c r="B9" s="39">
        <v>46145.0</v>
      </c>
      <c r="C9" s="75"/>
      <c r="D9" s="75"/>
      <c r="E9" s="75"/>
      <c r="F9" s="75"/>
      <c r="G9" s="56" t="str">
        <f t="shared" si="1"/>
        <v/>
      </c>
      <c r="H9" s="76" t="str">
        <f t="shared" si="2"/>
        <v/>
      </c>
      <c r="I9" s="77">
        <f t="shared" si="3"/>
        <v>0</v>
      </c>
      <c r="J9" s="41" t="str">
        <f t="shared" si="4"/>
        <v/>
      </c>
      <c r="L9" s="89" t="s">
        <v>2</v>
      </c>
      <c r="M9" s="56" t="str">
        <f t="shared" ref="M9:N9" si="5"> IFERROR(MEDIAN(G7:G999), )</f>
        <v/>
      </c>
      <c r="N9" s="56" t="str">
        <f t="shared" si="5"/>
        <v/>
      </c>
      <c r="O9" s="93">
        <f> IFERROR($N$9 * ($C$3/10)  / 25, )</f>
        <v>0</v>
      </c>
      <c r="P9" s="88"/>
      <c r="Q9" s="89" t="s">
        <v>58</v>
      </c>
      <c r="R9" s="17">
        <f>COUNTIF(J:J, "=Sim")</f>
        <v>0</v>
      </c>
      <c r="T9" s="90"/>
      <c r="U9" s="91"/>
      <c r="V9" s="2"/>
      <c r="W9" s="91"/>
      <c r="X9" s="92"/>
      <c r="Y9" s="56"/>
    </row>
    <row r="10">
      <c r="A10" s="39"/>
      <c r="B10" s="39">
        <v>46146.0</v>
      </c>
      <c r="C10" s="75"/>
      <c r="D10" s="75"/>
      <c r="E10" s="75"/>
      <c r="F10" s="75"/>
      <c r="G10" s="56" t="str">
        <f t="shared" si="1"/>
        <v/>
      </c>
      <c r="H10" s="76" t="str">
        <f t="shared" si="2"/>
        <v/>
      </c>
      <c r="I10" s="77">
        <f t="shared" si="3"/>
        <v>0</v>
      </c>
      <c r="J10" s="41" t="str">
        <f t="shared" si="4"/>
        <v/>
      </c>
      <c r="L10" s="89" t="s">
        <v>59</v>
      </c>
      <c r="M10" s="94">
        <f>IFERROR(SUM(G7:G999), )</f>
        <v>0</v>
      </c>
      <c r="N10" s="95" t="str">
        <f> IFERROR($M$10 / $M$8, )</f>
        <v/>
      </c>
      <c r="O10" s="93">
        <f> IFERROR($N$10 * ($C$3/10)  / 25, )</f>
        <v>0</v>
      </c>
      <c r="P10" s="88"/>
      <c r="Q10" s="89" t="s">
        <v>60</v>
      </c>
      <c r="R10" s="96" t="str">
        <f>IFERROR(M12/M9, )</f>
        <v/>
      </c>
      <c r="T10" s="90"/>
      <c r="U10" s="91"/>
      <c r="V10" s="2"/>
      <c r="W10" s="91"/>
      <c r="X10" s="92"/>
      <c r="Y10" s="56"/>
    </row>
    <row r="11">
      <c r="A11" s="39"/>
      <c r="B11" s="39">
        <v>46147.0</v>
      </c>
      <c r="C11" s="75"/>
      <c r="D11" s="75"/>
      <c r="E11" s="75"/>
      <c r="F11" s="75"/>
      <c r="G11" s="56" t="str">
        <f t="shared" si="1"/>
        <v/>
      </c>
      <c r="H11" s="76" t="str">
        <f t="shared" si="2"/>
        <v/>
      </c>
      <c r="I11" s="77">
        <f t="shared" si="3"/>
        <v>0</v>
      </c>
      <c r="J11" s="41" t="str">
        <f t="shared" si="4"/>
        <v/>
      </c>
      <c r="L11" s="89" t="s">
        <v>61</v>
      </c>
      <c r="M11" s="75">
        <f> IFERROR($N$11 * $M$8, )</f>
        <v>0</v>
      </c>
      <c r="N11" s="98" t="str">
        <f> IFERROR($C$4, )</f>
        <v/>
      </c>
      <c r="O11" s="93">
        <f> IFERROR($N$11 * ($C$3/10)  / 25,"")</f>
        <v>0</v>
      </c>
      <c r="Q11" s="89" t="s">
        <v>62</v>
      </c>
      <c r="R11" s="17">
        <f>COUNTIF($J:$J, "=Não")</f>
        <v>0</v>
      </c>
      <c r="T11" s="90"/>
      <c r="U11" s="91"/>
      <c r="V11" s="2"/>
      <c r="W11" s="91"/>
      <c r="X11" s="92"/>
      <c r="Y11" s="56"/>
    </row>
    <row r="12">
      <c r="A12" s="39"/>
      <c r="B12" s="39">
        <v>46148.0</v>
      </c>
      <c r="C12" s="75"/>
      <c r="D12" s="75"/>
      <c r="E12" s="56"/>
      <c r="F12" s="75"/>
      <c r="G12" s="56" t="str">
        <f t="shared" si="1"/>
        <v/>
      </c>
      <c r="H12" s="76" t="str">
        <f t="shared" si="2"/>
        <v/>
      </c>
      <c r="I12" s="77">
        <f t="shared" si="3"/>
        <v>0</v>
      </c>
      <c r="J12" s="41" t="str">
        <f t="shared" si="4"/>
        <v/>
      </c>
      <c r="L12" s="89" t="s">
        <v>63</v>
      </c>
      <c r="M12" s="56">
        <f> IFERROR($M$11 - $M$10, )</f>
        <v>0</v>
      </c>
      <c r="N12" s="56">
        <f>N11 - N10</f>
        <v>0</v>
      </c>
      <c r="O12" s="93">
        <f> IFERROR($N$12 * ($C$3/10)  / 25, )</f>
        <v>0</v>
      </c>
      <c r="Q12" s="89" t="s">
        <v>64</v>
      </c>
      <c r="R12" s="96">
        <f>R8 - R9 - R10</f>
        <v>31</v>
      </c>
      <c r="T12" s="90"/>
      <c r="U12" s="91"/>
      <c r="V12" s="2"/>
      <c r="W12" s="91"/>
      <c r="X12" s="92"/>
      <c r="Y12" s="56"/>
    </row>
    <row r="13">
      <c r="A13" s="39"/>
      <c r="B13" s="39">
        <v>46149.0</v>
      </c>
      <c r="C13" s="75"/>
      <c r="D13" s="75"/>
      <c r="E13" s="75"/>
      <c r="F13" s="75"/>
      <c r="G13" s="56" t="str">
        <f t="shared" si="1"/>
        <v/>
      </c>
      <c r="H13" s="76" t="str">
        <f t="shared" si="2"/>
        <v/>
      </c>
      <c r="I13" s="77">
        <f t="shared" si="3"/>
        <v>0</v>
      </c>
      <c r="J13" s="41" t="str">
        <f t="shared" si="4"/>
        <v/>
      </c>
      <c r="L13" s="99"/>
      <c r="M13" s="100"/>
      <c r="N13" s="100"/>
      <c r="O13" s="101"/>
      <c r="Q13" s="99" t="s">
        <v>7</v>
      </c>
      <c r="R13" s="23" t="str">
        <f>IF(M10 &gt;= M11, "🔵 Concluído", IF((R8-R9)-R10-R11&gt;=2, "🟢 Seguro", IF((R8-R9)-R10-R11&gt;=0, "🟡 Atenção", "🔴 Risco")))</f>
        <v>🔵 Concluído</v>
      </c>
      <c r="T13" s="90"/>
      <c r="U13" s="91"/>
      <c r="V13" s="2"/>
      <c r="W13" s="91"/>
      <c r="X13" s="92"/>
      <c r="Y13" s="56"/>
    </row>
    <row r="14">
      <c r="A14" s="39"/>
      <c r="B14" s="39">
        <v>46150.0</v>
      </c>
      <c r="C14" s="75"/>
      <c r="D14" s="75"/>
      <c r="E14" s="75"/>
      <c r="F14" s="75"/>
      <c r="G14" s="56" t="str">
        <f t="shared" si="1"/>
        <v/>
      </c>
      <c r="H14" s="76" t="str">
        <f t="shared" si="2"/>
        <v/>
      </c>
      <c r="I14" s="77">
        <f t="shared" si="3"/>
        <v>0</v>
      </c>
      <c r="J14" s="41" t="str">
        <f t="shared" si="4"/>
        <v/>
      </c>
      <c r="L14" s="1"/>
      <c r="M14" s="1"/>
      <c r="N14" s="1"/>
      <c r="O14" s="1"/>
      <c r="Q14" s="1"/>
      <c r="R14" s="15"/>
      <c r="V14" s="15"/>
      <c r="W14" s="15"/>
      <c r="Y14" s="56"/>
    </row>
    <row r="15">
      <c r="A15" s="39"/>
      <c r="B15" s="39">
        <v>46151.0</v>
      </c>
      <c r="C15" s="75"/>
      <c r="D15" s="75"/>
      <c r="E15" s="75"/>
      <c r="F15" s="75"/>
      <c r="G15" s="56" t="str">
        <f t="shared" si="1"/>
        <v/>
      </c>
      <c r="H15" s="76" t="str">
        <f t="shared" si="2"/>
        <v/>
      </c>
      <c r="I15" s="77">
        <f t="shared" si="3"/>
        <v>0</v>
      </c>
      <c r="J15" s="41" t="str">
        <f t="shared" si="4"/>
        <v/>
      </c>
      <c r="L15" s="1"/>
      <c r="V15" s="15"/>
      <c r="W15" s="15"/>
    </row>
    <row r="16">
      <c r="A16" s="39"/>
      <c r="B16" s="39">
        <v>46152.0</v>
      </c>
      <c r="C16" s="75"/>
      <c r="D16" s="75"/>
      <c r="E16" s="75"/>
      <c r="F16" s="75"/>
      <c r="G16" s="56" t="str">
        <f t="shared" si="1"/>
        <v/>
      </c>
      <c r="H16" s="76" t="str">
        <f t="shared" si="2"/>
        <v/>
      </c>
      <c r="I16" s="77">
        <f t="shared" si="3"/>
        <v>0</v>
      </c>
      <c r="J16" s="41" t="str">
        <f t="shared" si="4"/>
        <v/>
      </c>
      <c r="N16" s="102"/>
      <c r="V16" s="15"/>
      <c r="W16" s="15"/>
    </row>
    <row r="17">
      <c r="A17" s="39"/>
      <c r="B17" s="39">
        <v>46153.0</v>
      </c>
      <c r="C17" s="75"/>
      <c r="D17" s="75"/>
      <c r="E17" s="75"/>
      <c r="F17" s="75"/>
      <c r="G17" s="56" t="str">
        <f t="shared" si="1"/>
        <v/>
      </c>
      <c r="H17" s="76" t="str">
        <f t="shared" si="2"/>
        <v/>
      </c>
      <c r="I17" s="77">
        <f t="shared" si="3"/>
        <v>0</v>
      </c>
      <c r="J17" s="41" t="str">
        <f t="shared" si="4"/>
        <v/>
      </c>
      <c r="V17" s="15"/>
      <c r="W17" s="15"/>
    </row>
    <row r="18">
      <c r="A18" s="39"/>
      <c r="B18" s="39">
        <v>46154.0</v>
      </c>
      <c r="C18" s="56"/>
      <c r="D18" s="56"/>
      <c r="E18" s="56"/>
      <c r="F18" s="56"/>
      <c r="G18" s="56" t="str">
        <f t="shared" si="1"/>
        <v/>
      </c>
      <c r="H18" s="76" t="str">
        <f t="shared" si="2"/>
        <v/>
      </c>
      <c r="I18" s="77">
        <f t="shared" si="3"/>
        <v>0</v>
      </c>
      <c r="J18" s="41" t="str">
        <f t="shared" si="4"/>
        <v/>
      </c>
      <c r="V18" s="15"/>
      <c r="W18" s="15"/>
    </row>
    <row r="19">
      <c r="A19" s="39"/>
      <c r="B19" s="39">
        <v>46155.0</v>
      </c>
      <c r="C19" s="56"/>
      <c r="D19" s="56"/>
      <c r="E19" s="56"/>
      <c r="F19" s="56"/>
      <c r="G19" s="56" t="str">
        <f t="shared" si="1"/>
        <v/>
      </c>
      <c r="H19" s="76" t="str">
        <f t="shared" si="2"/>
        <v/>
      </c>
      <c r="I19" s="77">
        <f t="shared" si="3"/>
        <v>0</v>
      </c>
      <c r="J19" s="41" t="str">
        <f t="shared" si="4"/>
        <v/>
      </c>
      <c r="V19" s="15"/>
      <c r="W19" s="15"/>
    </row>
    <row r="20">
      <c r="A20" s="39"/>
      <c r="B20" s="39">
        <v>46156.0</v>
      </c>
      <c r="C20" s="56"/>
      <c r="D20" s="56"/>
      <c r="E20" s="56"/>
      <c r="F20" s="56"/>
      <c r="G20" s="56" t="str">
        <f t="shared" si="1"/>
        <v/>
      </c>
      <c r="H20" s="76" t="str">
        <f t="shared" si="2"/>
        <v/>
      </c>
      <c r="I20" s="77">
        <f t="shared" si="3"/>
        <v>0</v>
      </c>
      <c r="J20" s="41" t="str">
        <f t="shared" si="4"/>
        <v/>
      </c>
      <c r="V20" s="15"/>
      <c r="W20" s="15"/>
    </row>
    <row r="21">
      <c r="A21" s="39"/>
      <c r="B21" s="39">
        <v>46157.0</v>
      </c>
      <c r="C21" s="56"/>
      <c r="D21" s="56"/>
      <c r="E21" s="56"/>
      <c r="F21" s="56"/>
      <c r="G21" s="56" t="str">
        <f t="shared" si="1"/>
        <v/>
      </c>
      <c r="H21" s="76" t="str">
        <f t="shared" si="2"/>
        <v/>
      </c>
      <c r="I21" s="77">
        <f t="shared" si="3"/>
        <v>0</v>
      </c>
      <c r="J21" s="41" t="str">
        <f t="shared" si="4"/>
        <v/>
      </c>
      <c r="V21" s="15"/>
      <c r="W21" s="15"/>
    </row>
    <row r="22">
      <c r="A22" s="39"/>
      <c r="B22" s="39">
        <v>46158.0</v>
      </c>
      <c r="C22" s="56"/>
      <c r="D22" s="56"/>
      <c r="E22" s="56"/>
      <c r="F22" s="56"/>
      <c r="G22" s="56" t="str">
        <f t="shared" si="1"/>
        <v/>
      </c>
      <c r="H22" s="76" t="str">
        <f t="shared" si="2"/>
        <v/>
      </c>
      <c r="I22" s="77">
        <f t="shared" si="3"/>
        <v>0</v>
      </c>
      <c r="J22" s="41" t="str">
        <f t="shared" si="4"/>
        <v/>
      </c>
      <c r="V22" s="15"/>
      <c r="W22" s="15"/>
    </row>
    <row r="23">
      <c r="A23" s="39"/>
      <c r="B23" s="39">
        <v>46159.0</v>
      </c>
      <c r="C23" s="56"/>
      <c r="D23" s="56"/>
      <c r="E23" s="56"/>
      <c r="F23" s="56"/>
      <c r="G23" s="56" t="str">
        <f t="shared" si="1"/>
        <v/>
      </c>
      <c r="H23" s="76" t="str">
        <f t="shared" si="2"/>
        <v/>
      </c>
      <c r="I23" s="77">
        <f t="shared" si="3"/>
        <v>0</v>
      </c>
      <c r="J23" s="41" t="str">
        <f t="shared" si="4"/>
        <v/>
      </c>
      <c r="V23" s="15"/>
      <c r="W23" s="15"/>
    </row>
    <row r="24">
      <c r="A24" s="39"/>
      <c r="B24" s="39">
        <v>46160.0</v>
      </c>
      <c r="C24" s="56"/>
      <c r="D24" s="56"/>
      <c r="E24" s="56"/>
      <c r="F24" s="56"/>
      <c r="G24" s="56" t="str">
        <f t="shared" si="1"/>
        <v/>
      </c>
      <c r="H24" s="76" t="str">
        <f t="shared" si="2"/>
        <v/>
      </c>
      <c r="I24" s="77">
        <f t="shared" si="3"/>
        <v>0</v>
      </c>
      <c r="J24" s="41" t="str">
        <f t="shared" si="4"/>
        <v/>
      </c>
      <c r="N24" s="1"/>
      <c r="V24" s="15"/>
      <c r="W24" s="15"/>
    </row>
    <row r="25">
      <c r="A25" s="39"/>
      <c r="B25" s="39">
        <v>46161.0</v>
      </c>
      <c r="C25" s="75"/>
      <c r="D25" s="56"/>
      <c r="E25" s="75"/>
      <c r="F25" s="75"/>
      <c r="G25" s="56" t="str">
        <f t="shared" si="1"/>
        <v/>
      </c>
      <c r="H25" s="76" t="str">
        <f t="shared" si="2"/>
        <v/>
      </c>
      <c r="I25" s="77">
        <f t="shared" si="3"/>
        <v>0</v>
      </c>
      <c r="J25" s="41" t="str">
        <f t="shared" si="4"/>
        <v/>
      </c>
      <c r="V25" s="15"/>
      <c r="W25" s="15"/>
    </row>
    <row r="26">
      <c r="A26" s="39"/>
      <c r="B26" s="39">
        <v>46162.0</v>
      </c>
      <c r="C26" s="75"/>
      <c r="D26" s="56"/>
      <c r="E26" s="56"/>
      <c r="F26" s="75"/>
      <c r="G26" s="56" t="str">
        <f t="shared" si="1"/>
        <v/>
      </c>
      <c r="H26" s="76" t="str">
        <f t="shared" si="2"/>
        <v/>
      </c>
      <c r="I26" s="77">
        <f t="shared" si="3"/>
        <v>0</v>
      </c>
      <c r="J26" s="41" t="str">
        <f t="shared" si="4"/>
        <v/>
      </c>
      <c r="V26" s="15"/>
      <c r="W26" s="15"/>
    </row>
    <row r="27">
      <c r="A27" s="39"/>
      <c r="B27" s="39">
        <v>46163.0</v>
      </c>
      <c r="C27" s="75"/>
      <c r="D27" s="75"/>
      <c r="E27" s="75"/>
      <c r="F27" s="75"/>
      <c r="G27" s="56" t="str">
        <f t="shared" si="1"/>
        <v/>
      </c>
      <c r="H27" s="76" t="str">
        <f t="shared" si="2"/>
        <v/>
      </c>
      <c r="I27" s="77">
        <f t="shared" si="3"/>
        <v>0</v>
      </c>
      <c r="J27" s="41" t="str">
        <f t="shared" si="4"/>
        <v/>
      </c>
      <c r="V27" s="15"/>
      <c r="W27" s="15"/>
    </row>
    <row r="28">
      <c r="A28" s="39"/>
      <c r="B28" s="39">
        <v>46164.0</v>
      </c>
      <c r="C28" s="75"/>
      <c r="D28" s="56"/>
      <c r="E28" s="56"/>
      <c r="F28" s="75"/>
      <c r="G28" s="56" t="str">
        <f t="shared" si="1"/>
        <v/>
      </c>
      <c r="H28" s="104" t="str">
        <f t="shared" si="2"/>
        <v/>
      </c>
      <c r="I28" s="77">
        <f t="shared" si="3"/>
        <v>0</v>
      </c>
      <c r="J28" s="41" t="str">
        <f t="shared" si="4"/>
        <v/>
      </c>
      <c r="N28" s="1"/>
      <c r="V28" s="15"/>
      <c r="W28" s="15"/>
    </row>
    <row r="29">
      <c r="A29" s="39"/>
      <c r="B29" s="39">
        <v>46165.0</v>
      </c>
      <c r="C29" s="75"/>
      <c r="D29" s="56"/>
      <c r="E29" s="56"/>
      <c r="F29" s="75"/>
      <c r="G29" s="56" t="str">
        <f t="shared" si="1"/>
        <v/>
      </c>
      <c r="H29" s="104" t="str">
        <f t="shared" si="2"/>
        <v/>
      </c>
      <c r="I29" s="77">
        <f t="shared" si="3"/>
        <v>0</v>
      </c>
      <c r="J29" s="41" t="str">
        <f t="shared" si="4"/>
        <v/>
      </c>
      <c r="V29" s="15"/>
      <c r="W29" s="15"/>
    </row>
    <row r="30">
      <c r="A30" s="39"/>
      <c r="B30" s="39">
        <v>46166.0</v>
      </c>
      <c r="C30" s="56"/>
      <c r="D30" s="56"/>
      <c r="E30" s="56"/>
      <c r="F30" s="56"/>
      <c r="G30" s="56" t="str">
        <f t="shared" si="1"/>
        <v/>
      </c>
      <c r="H30" s="104" t="str">
        <f t="shared" si="2"/>
        <v/>
      </c>
      <c r="I30" s="77">
        <f t="shared" si="3"/>
        <v>0</v>
      </c>
      <c r="J30" s="41" t="str">
        <f t="shared" si="4"/>
        <v/>
      </c>
      <c r="V30" s="15"/>
      <c r="W30" s="15"/>
    </row>
    <row r="31">
      <c r="A31" s="39"/>
      <c r="B31" s="39">
        <v>46167.0</v>
      </c>
      <c r="C31" s="56"/>
      <c r="D31" s="56"/>
      <c r="E31" s="56"/>
      <c r="F31" s="56"/>
      <c r="G31" s="56" t="str">
        <f t="shared" si="1"/>
        <v/>
      </c>
      <c r="H31" s="104" t="str">
        <f t="shared" si="2"/>
        <v/>
      </c>
      <c r="I31" s="77">
        <f t="shared" si="3"/>
        <v>0</v>
      </c>
      <c r="J31" s="41" t="str">
        <f t="shared" si="4"/>
        <v/>
      </c>
      <c r="V31" s="15"/>
      <c r="W31" s="15"/>
    </row>
    <row r="32">
      <c r="A32" s="39"/>
      <c r="B32" s="39">
        <v>46168.0</v>
      </c>
      <c r="C32" s="56"/>
      <c r="D32" s="56"/>
      <c r="E32" s="56"/>
      <c r="F32" s="56"/>
      <c r="G32" s="56" t="str">
        <f t="shared" si="1"/>
        <v/>
      </c>
      <c r="H32" s="104" t="str">
        <f t="shared" si="2"/>
        <v/>
      </c>
      <c r="I32" s="77">
        <f t="shared" si="3"/>
        <v>0</v>
      </c>
      <c r="J32" s="41" t="str">
        <f t="shared" si="4"/>
        <v/>
      </c>
      <c r="V32" s="15"/>
      <c r="W32" s="15"/>
    </row>
    <row r="33">
      <c r="A33" s="39"/>
      <c r="B33" s="39">
        <v>46169.0</v>
      </c>
      <c r="C33" s="56"/>
      <c r="D33" s="56"/>
      <c r="E33" s="56"/>
      <c r="F33" s="56"/>
      <c r="G33" s="56" t="str">
        <f t="shared" si="1"/>
        <v/>
      </c>
      <c r="H33" s="104" t="str">
        <f t="shared" si="2"/>
        <v/>
      </c>
      <c r="I33" s="77">
        <f t="shared" si="3"/>
        <v>0</v>
      </c>
      <c r="J33" s="41" t="str">
        <f t="shared" si="4"/>
        <v/>
      </c>
      <c r="V33" s="15"/>
      <c r="W33" s="15"/>
    </row>
    <row r="34">
      <c r="A34" s="39"/>
      <c r="B34" s="39">
        <v>46170.0</v>
      </c>
      <c r="C34" s="56"/>
      <c r="D34" s="56"/>
      <c r="E34" s="56"/>
      <c r="F34" s="56"/>
      <c r="G34" s="56" t="str">
        <f t="shared" si="1"/>
        <v/>
      </c>
      <c r="H34" s="104" t="str">
        <f t="shared" si="2"/>
        <v/>
      </c>
      <c r="I34" s="77">
        <f t="shared" si="3"/>
        <v>0</v>
      </c>
      <c r="J34" s="41" t="str">
        <f t="shared" si="4"/>
        <v/>
      </c>
      <c r="V34" s="15"/>
      <c r="W34" s="15"/>
    </row>
    <row r="35">
      <c r="B35" s="39">
        <v>46171.0</v>
      </c>
      <c r="G35" s="56" t="str">
        <f t="shared" si="1"/>
        <v/>
      </c>
      <c r="I35" s="77">
        <f t="shared" si="3"/>
        <v>0</v>
      </c>
      <c r="J35" s="41" t="str">
        <f t="shared" si="4"/>
        <v/>
      </c>
      <c r="V35" s="15"/>
      <c r="W35" s="15"/>
    </row>
    <row r="36">
      <c r="B36" s="39">
        <v>46172.0</v>
      </c>
      <c r="G36" s="56" t="str">
        <f t="shared" si="1"/>
        <v/>
      </c>
      <c r="H36" s="104" t="str">
        <f>IFERROR(G35/C35, )</f>
        <v/>
      </c>
      <c r="I36" s="77">
        <f t="shared" si="3"/>
        <v>0</v>
      </c>
      <c r="J36" s="41" t="str">
        <f t="shared" si="4"/>
        <v/>
      </c>
      <c r="V36" s="15"/>
      <c r="W36" s="15"/>
    </row>
    <row r="37">
      <c r="B37" s="39">
        <v>46173.0</v>
      </c>
      <c r="G37" s="56" t="str">
        <f t="shared" si="1"/>
        <v/>
      </c>
      <c r="H37" s="104" t="str">
        <f>IFERROR(G37/C37, )</f>
        <v/>
      </c>
      <c r="I37" s="77">
        <f t="shared" si="3"/>
        <v>0</v>
      </c>
      <c r="J37" s="41" t="str">
        <f t="shared" si="4"/>
        <v/>
      </c>
      <c r="V37" s="15"/>
      <c r="W37" s="15"/>
    </row>
    <row r="38">
      <c r="B38" s="39"/>
      <c r="J38" s="15"/>
      <c r="V38" s="15"/>
      <c r="W38" s="15"/>
    </row>
    <row r="39">
      <c r="J39" s="15"/>
      <c r="V39" s="15"/>
      <c r="W39" s="15"/>
    </row>
    <row r="40">
      <c r="J40" s="15"/>
      <c r="V40" s="15"/>
      <c r="W40" s="15"/>
    </row>
    <row r="41">
      <c r="J41" s="15"/>
      <c r="V41" s="15"/>
      <c r="W41" s="15"/>
    </row>
    <row r="42">
      <c r="J42" s="15"/>
      <c r="V42" s="15"/>
      <c r="W42" s="15"/>
    </row>
    <row r="43">
      <c r="J43" s="15"/>
      <c r="V43" s="15"/>
      <c r="W43" s="15"/>
    </row>
    <row r="44">
      <c r="J44" s="15"/>
      <c r="V44" s="15"/>
      <c r="W44" s="15"/>
    </row>
    <row r="45">
      <c r="J45" s="15"/>
      <c r="V45" s="15"/>
      <c r="W45" s="15"/>
    </row>
    <row r="46">
      <c r="J46" s="15"/>
      <c r="V46" s="15"/>
      <c r="W46" s="15"/>
    </row>
    <row r="47">
      <c r="J47" s="15"/>
      <c r="V47" s="15"/>
      <c r="W47" s="15"/>
    </row>
    <row r="48">
      <c r="J48" s="15"/>
      <c r="V48" s="15"/>
      <c r="W48" s="15"/>
    </row>
    <row r="49">
      <c r="J49" s="15"/>
      <c r="V49" s="15"/>
      <c r="W49" s="15"/>
    </row>
    <row r="50">
      <c r="J50" s="15"/>
      <c r="V50" s="15"/>
      <c r="W50" s="15"/>
    </row>
    <row r="51">
      <c r="J51" s="15"/>
      <c r="V51" s="15"/>
      <c r="W51" s="15"/>
    </row>
    <row r="52">
      <c r="J52" s="15"/>
      <c r="V52" s="15"/>
      <c r="W52" s="15"/>
    </row>
    <row r="53">
      <c r="J53" s="15"/>
      <c r="V53" s="15"/>
      <c r="W53" s="15"/>
    </row>
    <row r="54">
      <c r="J54" s="15"/>
      <c r="V54" s="15"/>
      <c r="W54" s="15"/>
    </row>
    <row r="55">
      <c r="J55" s="15"/>
      <c r="V55" s="15"/>
      <c r="W55" s="15"/>
    </row>
    <row r="56">
      <c r="J56" s="15"/>
      <c r="V56" s="15"/>
      <c r="W56" s="15"/>
    </row>
    <row r="57">
      <c r="J57" s="15"/>
      <c r="V57" s="15"/>
      <c r="W57" s="15"/>
    </row>
    <row r="58">
      <c r="J58" s="15"/>
      <c r="V58" s="15"/>
      <c r="W58" s="15"/>
    </row>
    <row r="59">
      <c r="J59" s="15"/>
      <c r="V59" s="15"/>
      <c r="W59" s="15"/>
    </row>
    <row r="60">
      <c r="J60" s="15"/>
      <c r="V60" s="15"/>
      <c r="W60" s="15"/>
    </row>
    <row r="61">
      <c r="J61" s="15"/>
      <c r="V61" s="15"/>
      <c r="W61" s="15"/>
    </row>
    <row r="62">
      <c r="J62" s="15"/>
      <c r="V62" s="15"/>
      <c r="W62" s="15"/>
    </row>
    <row r="63">
      <c r="J63" s="15"/>
      <c r="V63" s="15"/>
      <c r="W63" s="15"/>
    </row>
    <row r="64">
      <c r="J64" s="15"/>
      <c r="V64" s="15"/>
      <c r="W64" s="15"/>
    </row>
    <row r="65">
      <c r="J65" s="15"/>
      <c r="V65" s="15"/>
      <c r="W65" s="15"/>
    </row>
    <row r="66">
      <c r="J66" s="15"/>
      <c r="V66" s="15"/>
      <c r="W66" s="15"/>
    </row>
    <row r="67">
      <c r="J67" s="15"/>
      <c r="V67" s="15"/>
      <c r="W67" s="15"/>
    </row>
    <row r="68">
      <c r="J68" s="15"/>
      <c r="V68" s="15"/>
      <c r="W68" s="15"/>
    </row>
    <row r="69">
      <c r="J69" s="15"/>
      <c r="V69" s="15"/>
      <c r="W69" s="15"/>
    </row>
    <row r="70">
      <c r="J70" s="15"/>
      <c r="V70" s="15"/>
      <c r="W70" s="15"/>
    </row>
    <row r="71">
      <c r="J71" s="15"/>
      <c r="V71" s="15"/>
      <c r="W71" s="15"/>
    </row>
    <row r="72">
      <c r="J72" s="15"/>
      <c r="V72" s="15"/>
      <c r="W72" s="15"/>
    </row>
    <row r="73">
      <c r="J73" s="15"/>
      <c r="V73" s="15"/>
      <c r="W73" s="15"/>
    </row>
    <row r="74">
      <c r="J74" s="15"/>
      <c r="V74" s="15"/>
      <c r="W74" s="15"/>
    </row>
    <row r="75">
      <c r="J75" s="15"/>
      <c r="V75" s="15"/>
      <c r="W75" s="15"/>
    </row>
    <row r="76">
      <c r="J76" s="15"/>
      <c r="V76" s="15"/>
      <c r="W76" s="15"/>
    </row>
    <row r="77">
      <c r="J77" s="15"/>
      <c r="V77" s="15"/>
      <c r="W77" s="15"/>
    </row>
    <row r="78">
      <c r="J78" s="15"/>
      <c r="V78" s="15"/>
      <c r="W78" s="15"/>
    </row>
    <row r="79">
      <c r="J79" s="15"/>
      <c r="V79" s="15"/>
      <c r="W79" s="15"/>
    </row>
    <row r="80">
      <c r="J80" s="15"/>
      <c r="V80" s="15"/>
      <c r="W80" s="15"/>
    </row>
    <row r="81">
      <c r="J81" s="15"/>
      <c r="V81" s="15"/>
      <c r="W81" s="15"/>
    </row>
    <row r="82">
      <c r="J82" s="15"/>
      <c r="V82" s="15"/>
      <c r="W82" s="15"/>
    </row>
    <row r="83">
      <c r="J83" s="15"/>
      <c r="V83" s="15"/>
      <c r="W83" s="15"/>
    </row>
    <row r="84">
      <c r="J84" s="15"/>
      <c r="V84" s="15"/>
      <c r="W84" s="15"/>
    </row>
    <row r="85">
      <c r="J85" s="15"/>
      <c r="V85" s="15"/>
      <c r="W85" s="15"/>
    </row>
    <row r="86">
      <c r="J86" s="15"/>
      <c r="V86" s="15"/>
      <c r="W86" s="15"/>
    </row>
    <row r="87">
      <c r="J87" s="15"/>
      <c r="V87" s="15"/>
      <c r="W87" s="15"/>
    </row>
    <row r="88">
      <c r="J88" s="15"/>
      <c r="V88" s="15"/>
      <c r="W88" s="15"/>
    </row>
    <row r="89">
      <c r="J89" s="15"/>
      <c r="V89" s="15"/>
      <c r="W89" s="15"/>
    </row>
    <row r="90">
      <c r="J90" s="15"/>
      <c r="V90" s="15"/>
      <c r="W90" s="15"/>
    </row>
    <row r="91">
      <c r="J91" s="15"/>
      <c r="V91" s="15"/>
      <c r="W91" s="15"/>
    </row>
    <row r="92">
      <c r="J92" s="15"/>
      <c r="V92" s="15"/>
      <c r="W92" s="15"/>
    </row>
    <row r="93">
      <c r="J93" s="15"/>
      <c r="V93" s="15"/>
      <c r="W93" s="15"/>
    </row>
    <row r="94">
      <c r="J94" s="15"/>
      <c r="V94" s="15"/>
      <c r="W94" s="15"/>
    </row>
    <row r="95">
      <c r="J95" s="15"/>
      <c r="V95" s="15"/>
      <c r="W95" s="15"/>
    </row>
    <row r="96">
      <c r="J96" s="15"/>
      <c r="V96" s="15"/>
      <c r="W96" s="15"/>
    </row>
    <row r="97">
      <c r="J97" s="15"/>
      <c r="V97" s="15"/>
      <c r="W97" s="15"/>
    </row>
    <row r="98">
      <c r="J98" s="15"/>
      <c r="V98" s="15"/>
      <c r="W98" s="15"/>
    </row>
    <row r="99">
      <c r="J99" s="15"/>
      <c r="V99" s="15"/>
      <c r="W99" s="15"/>
    </row>
    <row r="100">
      <c r="J100" s="15"/>
      <c r="V100" s="15"/>
      <c r="W100" s="15"/>
    </row>
    <row r="101">
      <c r="J101" s="15"/>
      <c r="V101" s="15"/>
      <c r="W101" s="15"/>
    </row>
    <row r="102">
      <c r="J102" s="15"/>
      <c r="V102" s="15"/>
      <c r="W102" s="15"/>
    </row>
    <row r="103">
      <c r="J103" s="15"/>
      <c r="V103" s="15"/>
      <c r="W103" s="15"/>
    </row>
    <row r="104">
      <c r="J104" s="15"/>
      <c r="V104" s="15"/>
      <c r="W104" s="15"/>
    </row>
    <row r="105">
      <c r="J105" s="15"/>
      <c r="V105" s="15"/>
      <c r="W105" s="15"/>
    </row>
    <row r="106">
      <c r="J106" s="15"/>
      <c r="V106" s="15"/>
      <c r="W106" s="15"/>
    </row>
    <row r="107">
      <c r="J107" s="15"/>
      <c r="V107" s="15"/>
      <c r="W107" s="15"/>
    </row>
    <row r="108">
      <c r="J108" s="15"/>
      <c r="V108" s="15"/>
      <c r="W108" s="15"/>
    </row>
    <row r="109">
      <c r="J109" s="15"/>
      <c r="V109" s="15"/>
      <c r="W109" s="15"/>
    </row>
    <row r="110">
      <c r="J110" s="15"/>
      <c r="V110" s="15"/>
      <c r="W110" s="15"/>
    </row>
    <row r="111">
      <c r="J111" s="15"/>
      <c r="V111" s="15"/>
      <c r="W111" s="15"/>
    </row>
    <row r="112">
      <c r="J112" s="15"/>
      <c r="V112" s="15"/>
      <c r="W112" s="15"/>
    </row>
    <row r="113">
      <c r="J113" s="15"/>
      <c r="V113" s="15"/>
      <c r="W113" s="15"/>
    </row>
    <row r="114">
      <c r="J114" s="15"/>
      <c r="V114" s="15"/>
      <c r="W114" s="15"/>
    </row>
    <row r="115">
      <c r="J115" s="15"/>
      <c r="V115" s="15"/>
      <c r="W115" s="15"/>
    </row>
    <row r="116">
      <c r="J116" s="15"/>
      <c r="V116" s="15"/>
      <c r="W116" s="15"/>
    </row>
    <row r="117">
      <c r="J117" s="15"/>
      <c r="V117" s="15"/>
      <c r="W117" s="15"/>
    </row>
    <row r="118">
      <c r="J118" s="15"/>
      <c r="V118" s="15"/>
      <c r="W118" s="15"/>
    </row>
    <row r="119">
      <c r="J119" s="15"/>
      <c r="V119" s="15"/>
      <c r="W119" s="15"/>
    </row>
    <row r="120">
      <c r="J120" s="15"/>
      <c r="V120" s="15"/>
      <c r="W120" s="15"/>
    </row>
    <row r="121">
      <c r="J121" s="15"/>
      <c r="V121" s="15"/>
      <c r="W121" s="15"/>
    </row>
    <row r="122">
      <c r="J122" s="15"/>
      <c r="V122" s="15"/>
      <c r="W122" s="15"/>
    </row>
    <row r="123">
      <c r="J123" s="15"/>
      <c r="V123" s="15"/>
      <c r="W123" s="15"/>
    </row>
    <row r="124">
      <c r="J124" s="15"/>
      <c r="V124" s="15"/>
      <c r="W124" s="15"/>
    </row>
    <row r="125">
      <c r="J125" s="15"/>
      <c r="V125" s="15"/>
      <c r="W125" s="15"/>
    </row>
    <row r="126">
      <c r="J126" s="15"/>
      <c r="V126" s="15"/>
      <c r="W126" s="15"/>
    </row>
    <row r="127">
      <c r="J127" s="15"/>
      <c r="V127" s="15"/>
      <c r="W127" s="15"/>
    </row>
    <row r="128">
      <c r="J128" s="15"/>
      <c r="V128" s="15"/>
      <c r="W128" s="15"/>
    </row>
    <row r="129">
      <c r="J129" s="15"/>
      <c r="V129" s="15"/>
      <c r="W129" s="15"/>
    </row>
    <row r="130">
      <c r="J130" s="15"/>
      <c r="V130" s="15"/>
      <c r="W130" s="15"/>
    </row>
    <row r="131">
      <c r="J131" s="15"/>
      <c r="V131" s="15"/>
      <c r="W131" s="15"/>
    </row>
    <row r="132">
      <c r="J132" s="15"/>
      <c r="V132" s="15"/>
      <c r="W132" s="15"/>
    </row>
    <row r="133">
      <c r="J133" s="15"/>
      <c r="V133" s="15"/>
      <c r="W133" s="15"/>
    </row>
    <row r="134">
      <c r="J134" s="15"/>
      <c r="V134" s="15"/>
      <c r="W134" s="15"/>
    </row>
    <row r="135">
      <c r="J135" s="15"/>
      <c r="V135" s="15"/>
      <c r="W135" s="15"/>
    </row>
    <row r="136">
      <c r="J136" s="15"/>
      <c r="V136" s="15"/>
      <c r="W136" s="15"/>
    </row>
    <row r="137">
      <c r="J137" s="15"/>
      <c r="V137" s="15"/>
      <c r="W137" s="15"/>
    </row>
    <row r="138">
      <c r="J138" s="15"/>
      <c r="V138" s="15"/>
      <c r="W138" s="15"/>
    </row>
    <row r="139">
      <c r="J139" s="15"/>
      <c r="V139" s="15"/>
      <c r="W139" s="15"/>
    </row>
    <row r="140">
      <c r="J140" s="15"/>
      <c r="V140" s="15"/>
      <c r="W140" s="15"/>
    </row>
    <row r="141">
      <c r="J141" s="15"/>
      <c r="V141" s="15"/>
      <c r="W141" s="15"/>
    </row>
    <row r="142">
      <c r="J142" s="15"/>
      <c r="V142" s="15"/>
      <c r="W142" s="15"/>
    </row>
    <row r="143">
      <c r="J143" s="15"/>
      <c r="V143" s="15"/>
      <c r="W143" s="15"/>
    </row>
    <row r="144">
      <c r="J144" s="15"/>
      <c r="V144" s="15"/>
      <c r="W144" s="15"/>
    </row>
    <row r="145">
      <c r="J145" s="15"/>
      <c r="V145" s="15"/>
      <c r="W145" s="15"/>
    </row>
    <row r="146">
      <c r="J146" s="15"/>
      <c r="V146" s="15"/>
      <c r="W146" s="15"/>
    </row>
    <row r="147">
      <c r="J147" s="15"/>
      <c r="V147" s="15"/>
      <c r="W147" s="15"/>
    </row>
    <row r="148">
      <c r="J148" s="15"/>
      <c r="V148" s="15"/>
      <c r="W148" s="15"/>
    </row>
    <row r="149">
      <c r="J149" s="15"/>
      <c r="V149" s="15"/>
      <c r="W149" s="15"/>
    </row>
    <row r="150">
      <c r="J150" s="15"/>
      <c r="V150" s="15"/>
      <c r="W150" s="15"/>
    </row>
    <row r="151">
      <c r="J151" s="15"/>
      <c r="V151" s="15"/>
      <c r="W151" s="15"/>
    </row>
    <row r="152">
      <c r="J152" s="15"/>
      <c r="V152" s="15"/>
      <c r="W152" s="15"/>
    </row>
    <row r="153">
      <c r="J153" s="15"/>
      <c r="V153" s="15"/>
      <c r="W153" s="15"/>
    </row>
    <row r="154">
      <c r="J154" s="15"/>
      <c r="V154" s="15"/>
      <c r="W154" s="15"/>
    </row>
    <row r="155">
      <c r="J155" s="15"/>
      <c r="V155" s="15"/>
      <c r="W155" s="15"/>
    </row>
    <row r="156">
      <c r="J156" s="15"/>
      <c r="V156" s="15"/>
      <c r="W156" s="15"/>
    </row>
    <row r="157">
      <c r="J157" s="15"/>
      <c r="V157" s="15"/>
      <c r="W157" s="15"/>
    </row>
    <row r="158">
      <c r="J158" s="15"/>
      <c r="V158" s="15"/>
      <c r="W158" s="15"/>
    </row>
    <row r="159">
      <c r="J159" s="15"/>
      <c r="V159" s="15"/>
      <c r="W159" s="15"/>
    </row>
    <row r="160">
      <c r="J160" s="15"/>
      <c r="V160" s="15"/>
      <c r="W160" s="15"/>
    </row>
    <row r="161">
      <c r="J161" s="15"/>
      <c r="V161" s="15"/>
      <c r="W161" s="15"/>
    </row>
    <row r="162">
      <c r="J162" s="15"/>
      <c r="V162" s="15"/>
      <c r="W162" s="15"/>
    </row>
    <row r="163">
      <c r="J163" s="15"/>
      <c r="V163" s="15"/>
      <c r="W163" s="15"/>
    </row>
    <row r="164">
      <c r="J164" s="15"/>
      <c r="V164" s="15"/>
      <c r="W164" s="15"/>
    </row>
    <row r="165">
      <c r="J165" s="15"/>
      <c r="V165" s="15"/>
      <c r="W165" s="15"/>
    </row>
    <row r="166">
      <c r="J166" s="15"/>
      <c r="V166" s="15"/>
      <c r="W166" s="15"/>
    </row>
    <row r="167">
      <c r="J167" s="15"/>
      <c r="V167" s="15"/>
      <c r="W167" s="15"/>
    </row>
    <row r="168">
      <c r="J168" s="15"/>
      <c r="V168" s="15"/>
      <c r="W168" s="15"/>
    </row>
    <row r="169">
      <c r="J169" s="15"/>
      <c r="V169" s="15"/>
      <c r="W169" s="15"/>
    </row>
    <row r="170">
      <c r="J170" s="15"/>
      <c r="V170" s="15"/>
      <c r="W170" s="15"/>
    </row>
    <row r="171">
      <c r="J171" s="15"/>
      <c r="V171" s="15"/>
      <c r="W171" s="15"/>
    </row>
    <row r="172">
      <c r="J172" s="15"/>
      <c r="V172" s="15"/>
      <c r="W172" s="15"/>
    </row>
    <row r="173">
      <c r="J173" s="15"/>
      <c r="V173" s="15"/>
      <c r="W173" s="15"/>
    </row>
    <row r="174">
      <c r="J174" s="15"/>
      <c r="V174" s="15"/>
      <c r="W174" s="15"/>
    </row>
    <row r="175">
      <c r="J175" s="15"/>
      <c r="V175" s="15"/>
      <c r="W175" s="15"/>
    </row>
    <row r="176">
      <c r="J176" s="15"/>
      <c r="V176" s="15"/>
      <c r="W176" s="15"/>
    </row>
    <row r="177">
      <c r="J177" s="15"/>
      <c r="V177" s="15"/>
      <c r="W177" s="15"/>
    </row>
    <row r="178">
      <c r="J178" s="15"/>
      <c r="V178" s="15"/>
      <c r="W178" s="15"/>
    </row>
    <row r="179">
      <c r="J179" s="15"/>
      <c r="V179" s="15"/>
      <c r="W179" s="15"/>
    </row>
    <row r="180">
      <c r="J180" s="15"/>
      <c r="V180" s="15"/>
      <c r="W180" s="15"/>
    </row>
    <row r="181">
      <c r="J181" s="15"/>
      <c r="V181" s="15"/>
      <c r="W181" s="15"/>
    </row>
    <row r="182">
      <c r="J182" s="15"/>
      <c r="V182" s="15"/>
      <c r="W182" s="15"/>
    </row>
    <row r="183">
      <c r="J183" s="15"/>
      <c r="V183" s="15"/>
      <c r="W183" s="15"/>
    </row>
    <row r="184">
      <c r="J184" s="15"/>
      <c r="V184" s="15"/>
      <c r="W184" s="15"/>
    </row>
    <row r="185">
      <c r="J185" s="15"/>
      <c r="V185" s="15"/>
      <c r="W185" s="15"/>
    </row>
    <row r="186">
      <c r="J186" s="15"/>
      <c r="V186" s="15"/>
      <c r="W186" s="15"/>
    </row>
    <row r="187">
      <c r="J187" s="15"/>
      <c r="V187" s="15"/>
      <c r="W187" s="15"/>
    </row>
    <row r="188">
      <c r="J188" s="15"/>
      <c r="V188" s="15"/>
      <c r="W188" s="15"/>
    </row>
    <row r="189">
      <c r="J189" s="15"/>
      <c r="V189" s="15"/>
      <c r="W189" s="15"/>
    </row>
    <row r="190">
      <c r="J190" s="15"/>
      <c r="V190" s="15"/>
      <c r="W190" s="15"/>
    </row>
    <row r="191">
      <c r="J191" s="15"/>
      <c r="V191" s="15"/>
      <c r="W191" s="15"/>
    </row>
    <row r="192">
      <c r="J192" s="15"/>
      <c r="V192" s="15"/>
      <c r="W192" s="15"/>
    </row>
    <row r="193">
      <c r="J193" s="15"/>
      <c r="V193" s="15"/>
      <c r="W193" s="15"/>
    </row>
    <row r="194">
      <c r="J194" s="15"/>
      <c r="V194" s="15"/>
      <c r="W194" s="15"/>
    </row>
    <row r="195">
      <c r="J195" s="15"/>
      <c r="V195" s="15"/>
      <c r="W195" s="15"/>
    </row>
    <row r="196">
      <c r="J196" s="15"/>
      <c r="V196" s="15"/>
      <c r="W196" s="15"/>
    </row>
    <row r="197">
      <c r="J197" s="15"/>
      <c r="V197" s="15"/>
      <c r="W197" s="15"/>
    </row>
    <row r="198">
      <c r="J198" s="15"/>
      <c r="V198" s="15"/>
      <c r="W198" s="15"/>
    </row>
    <row r="199">
      <c r="J199" s="15"/>
      <c r="V199" s="15"/>
      <c r="W199" s="15"/>
    </row>
    <row r="200">
      <c r="J200" s="15"/>
      <c r="V200" s="15"/>
      <c r="W200" s="15"/>
    </row>
    <row r="201">
      <c r="J201" s="15"/>
      <c r="V201" s="15"/>
      <c r="W201" s="15"/>
    </row>
    <row r="202">
      <c r="J202" s="15"/>
      <c r="V202" s="15"/>
      <c r="W202" s="15"/>
    </row>
    <row r="203">
      <c r="J203" s="15"/>
      <c r="V203" s="15"/>
      <c r="W203" s="15"/>
    </row>
    <row r="204">
      <c r="J204" s="15"/>
      <c r="V204" s="15"/>
      <c r="W204" s="15"/>
    </row>
    <row r="205">
      <c r="J205" s="15"/>
      <c r="V205" s="15"/>
      <c r="W205" s="15"/>
    </row>
    <row r="206">
      <c r="J206" s="15"/>
      <c r="V206" s="15"/>
      <c r="W206" s="15"/>
    </row>
    <row r="207">
      <c r="J207" s="15"/>
      <c r="V207" s="15"/>
      <c r="W207" s="15"/>
    </row>
    <row r="208">
      <c r="J208" s="15"/>
      <c r="V208" s="15"/>
      <c r="W208" s="15"/>
    </row>
    <row r="209">
      <c r="J209" s="15"/>
      <c r="V209" s="15"/>
      <c r="W209" s="15"/>
    </row>
    <row r="210">
      <c r="J210" s="15"/>
      <c r="V210" s="15"/>
      <c r="W210" s="15"/>
    </row>
    <row r="211">
      <c r="J211" s="15"/>
      <c r="V211" s="15"/>
      <c r="W211" s="15"/>
    </row>
    <row r="212">
      <c r="J212" s="15"/>
      <c r="V212" s="15"/>
      <c r="W212" s="15"/>
    </row>
    <row r="213">
      <c r="J213" s="15"/>
      <c r="V213" s="15"/>
      <c r="W213" s="15"/>
    </row>
    <row r="214">
      <c r="J214" s="15"/>
      <c r="V214" s="15"/>
      <c r="W214" s="15"/>
    </row>
    <row r="215">
      <c r="J215" s="15"/>
      <c r="V215" s="15"/>
      <c r="W215" s="15"/>
    </row>
    <row r="216">
      <c r="J216" s="15"/>
      <c r="V216" s="15"/>
      <c r="W216" s="15"/>
    </row>
    <row r="217">
      <c r="J217" s="15"/>
      <c r="V217" s="15"/>
      <c r="W217" s="15"/>
    </row>
    <row r="218">
      <c r="J218" s="15"/>
      <c r="V218" s="15"/>
      <c r="W218" s="15"/>
    </row>
    <row r="219">
      <c r="J219" s="15"/>
      <c r="V219" s="15"/>
      <c r="W219" s="15"/>
    </row>
    <row r="220">
      <c r="J220" s="15"/>
      <c r="V220" s="15"/>
      <c r="W220" s="15"/>
    </row>
    <row r="221">
      <c r="J221" s="15"/>
      <c r="V221" s="15"/>
      <c r="W221" s="15"/>
    </row>
    <row r="222">
      <c r="J222" s="15"/>
      <c r="V222" s="15"/>
      <c r="W222" s="15"/>
    </row>
    <row r="223">
      <c r="J223" s="15"/>
      <c r="V223" s="15"/>
      <c r="W223" s="15"/>
    </row>
    <row r="224">
      <c r="J224" s="15"/>
      <c r="V224" s="15"/>
      <c r="W224" s="15"/>
    </row>
    <row r="225">
      <c r="J225" s="15"/>
      <c r="V225" s="15"/>
      <c r="W225" s="15"/>
    </row>
    <row r="226">
      <c r="J226" s="15"/>
      <c r="V226" s="15"/>
      <c r="W226" s="15"/>
    </row>
    <row r="227">
      <c r="J227" s="15"/>
      <c r="V227" s="15"/>
      <c r="W227" s="15"/>
    </row>
    <row r="228">
      <c r="J228" s="15"/>
      <c r="V228" s="15"/>
      <c r="W228" s="15"/>
    </row>
    <row r="229">
      <c r="J229" s="15"/>
      <c r="V229" s="15"/>
      <c r="W229" s="15"/>
    </row>
    <row r="230">
      <c r="J230" s="15"/>
      <c r="V230" s="15"/>
      <c r="W230" s="15"/>
    </row>
    <row r="231">
      <c r="J231" s="15"/>
      <c r="V231" s="15"/>
      <c r="W231" s="15"/>
    </row>
    <row r="232">
      <c r="J232" s="15"/>
      <c r="V232" s="15"/>
      <c r="W232" s="15"/>
    </row>
    <row r="233">
      <c r="J233" s="15"/>
      <c r="V233" s="15"/>
      <c r="W233" s="15"/>
    </row>
    <row r="234">
      <c r="J234" s="15"/>
      <c r="V234" s="15"/>
      <c r="W234" s="15"/>
    </row>
    <row r="235">
      <c r="J235" s="15"/>
      <c r="V235" s="15"/>
      <c r="W235" s="15"/>
    </row>
    <row r="236">
      <c r="J236" s="15"/>
      <c r="V236" s="15"/>
      <c r="W236" s="15"/>
    </row>
    <row r="237">
      <c r="J237" s="15"/>
      <c r="V237" s="15"/>
      <c r="W237" s="15"/>
    </row>
    <row r="238">
      <c r="J238" s="15"/>
      <c r="V238" s="15"/>
      <c r="W238" s="15"/>
    </row>
    <row r="239">
      <c r="J239" s="15"/>
      <c r="V239" s="15"/>
      <c r="W239" s="15"/>
    </row>
    <row r="240">
      <c r="J240" s="15"/>
      <c r="V240" s="15"/>
      <c r="W240" s="15"/>
    </row>
    <row r="241">
      <c r="J241" s="15"/>
      <c r="V241" s="15"/>
      <c r="W241" s="15"/>
    </row>
    <row r="242">
      <c r="J242" s="15"/>
      <c r="V242" s="15"/>
      <c r="W242" s="15"/>
    </row>
    <row r="243">
      <c r="J243" s="15"/>
      <c r="V243" s="15"/>
      <c r="W243" s="15"/>
    </row>
    <row r="244">
      <c r="J244" s="15"/>
      <c r="V244" s="15"/>
      <c r="W244" s="15"/>
    </row>
    <row r="245">
      <c r="J245" s="15"/>
      <c r="V245" s="15"/>
      <c r="W245" s="15"/>
    </row>
    <row r="246">
      <c r="J246" s="15"/>
      <c r="V246" s="15"/>
      <c r="W246" s="15"/>
    </row>
    <row r="247">
      <c r="J247" s="15"/>
      <c r="V247" s="15"/>
      <c r="W247" s="15"/>
    </row>
    <row r="248">
      <c r="J248" s="15"/>
      <c r="V248" s="15"/>
      <c r="W248" s="15"/>
    </row>
    <row r="249">
      <c r="J249" s="15"/>
      <c r="V249" s="15"/>
      <c r="W249" s="15"/>
    </row>
    <row r="250">
      <c r="J250" s="15"/>
      <c r="V250" s="15"/>
      <c r="W250" s="15"/>
    </row>
    <row r="251">
      <c r="J251" s="15"/>
      <c r="V251" s="15"/>
      <c r="W251" s="15"/>
    </row>
    <row r="252">
      <c r="J252" s="15"/>
      <c r="V252" s="15"/>
      <c r="W252" s="15"/>
    </row>
    <row r="253">
      <c r="J253" s="15"/>
      <c r="V253" s="15"/>
      <c r="W253" s="15"/>
    </row>
    <row r="254">
      <c r="J254" s="15"/>
      <c r="V254" s="15"/>
      <c r="W254" s="15"/>
    </row>
    <row r="255">
      <c r="J255" s="15"/>
      <c r="V255" s="15"/>
      <c r="W255" s="15"/>
    </row>
    <row r="256">
      <c r="J256" s="15"/>
      <c r="V256" s="15"/>
      <c r="W256" s="15"/>
    </row>
    <row r="257">
      <c r="J257" s="15"/>
      <c r="V257" s="15"/>
      <c r="W257" s="15"/>
    </row>
    <row r="258">
      <c r="J258" s="15"/>
      <c r="V258" s="15"/>
      <c r="W258" s="15"/>
    </row>
    <row r="259">
      <c r="J259" s="15"/>
      <c r="V259" s="15"/>
      <c r="W259" s="15"/>
    </row>
    <row r="260">
      <c r="J260" s="15"/>
      <c r="V260" s="15"/>
      <c r="W260" s="15"/>
    </row>
    <row r="261">
      <c r="J261" s="15"/>
      <c r="V261" s="15"/>
      <c r="W261" s="15"/>
    </row>
    <row r="262">
      <c r="J262" s="15"/>
      <c r="V262" s="15"/>
      <c r="W262" s="15"/>
    </row>
    <row r="263">
      <c r="J263" s="15"/>
      <c r="V263" s="15"/>
      <c r="W263" s="15"/>
    </row>
    <row r="264">
      <c r="J264" s="15"/>
      <c r="V264" s="15"/>
      <c r="W264" s="15"/>
    </row>
    <row r="265">
      <c r="J265" s="15"/>
      <c r="V265" s="15"/>
      <c r="W265" s="15"/>
    </row>
    <row r="266">
      <c r="J266" s="15"/>
      <c r="V266" s="15"/>
      <c r="W266" s="15"/>
    </row>
    <row r="267">
      <c r="J267" s="15"/>
      <c r="V267" s="15"/>
      <c r="W267" s="15"/>
    </row>
    <row r="268">
      <c r="J268" s="15"/>
      <c r="V268" s="15"/>
      <c r="W268" s="15"/>
    </row>
    <row r="269">
      <c r="J269" s="15"/>
      <c r="V269" s="15"/>
      <c r="W269" s="15"/>
    </row>
    <row r="270">
      <c r="J270" s="15"/>
      <c r="V270" s="15"/>
      <c r="W270" s="15"/>
    </row>
    <row r="271">
      <c r="J271" s="15"/>
      <c r="V271" s="15"/>
      <c r="W271" s="15"/>
    </row>
    <row r="272">
      <c r="J272" s="15"/>
      <c r="V272" s="15"/>
      <c r="W272" s="15"/>
    </row>
    <row r="273">
      <c r="J273" s="15"/>
      <c r="V273" s="15"/>
      <c r="W273" s="15"/>
    </row>
    <row r="274">
      <c r="J274" s="15"/>
      <c r="V274" s="15"/>
      <c r="W274" s="15"/>
    </row>
    <row r="275">
      <c r="J275" s="15"/>
      <c r="V275" s="15"/>
      <c r="W275" s="15"/>
    </row>
    <row r="276">
      <c r="J276" s="15"/>
      <c r="V276" s="15"/>
      <c r="W276" s="15"/>
    </row>
    <row r="277">
      <c r="J277" s="15"/>
      <c r="V277" s="15"/>
      <c r="W277" s="15"/>
    </row>
    <row r="278">
      <c r="J278" s="15"/>
      <c r="V278" s="15"/>
      <c r="W278" s="15"/>
    </row>
    <row r="279">
      <c r="J279" s="15"/>
      <c r="V279" s="15"/>
      <c r="W279" s="15"/>
    </row>
    <row r="280">
      <c r="J280" s="15"/>
      <c r="V280" s="15"/>
      <c r="W280" s="15"/>
    </row>
    <row r="281">
      <c r="J281" s="15"/>
      <c r="V281" s="15"/>
      <c r="W281" s="15"/>
    </row>
    <row r="282">
      <c r="J282" s="15"/>
      <c r="V282" s="15"/>
      <c r="W282" s="15"/>
    </row>
    <row r="283">
      <c r="J283" s="15"/>
      <c r="V283" s="15"/>
      <c r="W283" s="15"/>
    </row>
    <row r="284">
      <c r="J284" s="15"/>
      <c r="V284" s="15"/>
      <c r="W284" s="15"/>
    </row>
    <row r="285">
      <c r="J285" s="15"/>
      <c r="V285" s="15"/>
      <c r="W285" s="15"/>
    </row>
    <row r="286">
      <c r="J286" s="15"/>
      <c r="V286" s="15"/>
      <c r="W286" s="15"/>
    </row>
    <row r="287">
      <c r="J287" s="15"/>
      <c r="V287" s="15"/>
      <c r="W287" s="15"/>
    </row>
    <row r="288">
      <c r="J288" s="15"/>
      <c r="V288" s="15"/>
      <c r="W288" s="15"/>
    </row>
    <row r="289">
      <c r="J289" s="15"/>
      <c r="V289" s="15"/>
      <c r="W289" s="15"/>
    </row>
    <row r="290">
      <c r="J290" s="15"/>
      <c r="V290" s="15"/>
      <c r="W290" s="15"/>
    </row>
    <row r="291">
      <c r="J291" s="15"/>
      <c r="V291" s="15"/>
      <c r="W291" s="15"/>
    </row>
    <row r="292">
      <c r="J292" s="15"/>
      <c r="V292" s="15"/>
      <c r="W292" s="15"/>
    </row>
    <row r="293">
      <c r="J293" s="15"/>
      <c r="V293" s="15"/>
      <c r="W293" s="15"/>
    </row>
    <row r="294">
      <c r="J294" s="15"/>
      <c r="V294" s="15"/>
      <c r="W294" s="15"/>
    </row>
    <row r="295">
      <c r="J295" s="15"/>
      <c r="V295" s="15"/>
      <c r="W295" s="15"/>
    </row>
    <row r="296">
      <c r="J296" s="15"/>
      <c r="V296" s="15"/>
      <c r="W296" s="15"/>
    </row>
    <row r="297">
      <c r="J297" s="15"/>
      <c r="V297" s="15"/>
      <c r="W297" s="15"/>
    </row>
    <row r="298">
      <c r="J298" s="15"/>
      <c r="V298" s="15"/>
      <c r="W298" s="15"/>
    </row>
    <row r="299">
      <c r="J299" s="15"/>
      <c r="V299" s="15"/>
      <c r="W299" s="15"/>
    </row>
    <row r="300">
      <c r="J300" s="15"/>
      <c r="V300" s="15"/>
      <c r="W300" s="15"/>
    </row>
    <row r="301">
      <c r="J301" s="15"/>
      <c r="V301" s="15"/>
      <c r="W301" s="15"/>
    </row>
    <row r="302">
      <c r="J302" s="15"/>
      <c r="V302" s="15"/>
      <c r="W302" s="15"/>
    </row>
    <row r="303">
      <c r="J303" s="15"/>
      <c r="V303" s="15"/>
      <c r="W303" s="15"/>
    </row>
    <row r="304">
      <c r="J304" s="15"/>
      <c r="V304" s="15"/>
      <c r="W304" s="15"/>
    </row>
    <row r="305">
      <c r="J305" s="15"/>
      <c r="V305" s="15"/>
      <c r="W305" s="15"/>
    </row>
    <row r="306">
      <c r="J306" s="15"/>
      <c r="V306" s="15"/>
      <c r="W306" s="15"/>
    </row>
    <row r="307">
      <c r="J307" s="15"/>
      <c r="V307" s="15"/>
      <c r="W307" s="15"/>
    </row>
    <row r="308">
      <c r="J308" s="15"/>
      <c r="V308" s="15"/>
      <c r="W308" s="15"/>
    </row>
    <row r="309">
      <c r="J309" s="15"/>
      <c r="V309" s="15"/>
      <c r="W309" s="15"/>
    </row>
    <row r="310">
      <c r="J310" s="15"/>
      <c r="V310" s="15"/>
      <c r="W310" s="15"/>
    </row>
    <row r="311">
      <c r="J311" s="15"/>
      <c r="V311" s="15"/>
      <c r="W311" s="15"/>
    </row>
    <row r="312">
      <c r="J312" s="15"/>
      <c r="V312" s="15"/>
      <c r="W312" s="15"/>
    </row>
    <row r="313">
      <c r="J313" s="15"/>
      <c r="V313" s="15"/>
      <c r="W313" s="15"/>
    </row>
    <row r="314">
      <c r="J314" s="15"/>
      <c r="V314" s="15"/>
      <c r="W314" s="15"/>
    </row>
    <row r="315">
      <c r="J315" s="15"/>
      <c r="V315" s="15"/>
      <c r="W315" s="15"/>
    </row>
    <row r="316">
      <c r="J316" s="15"/>
      <c r="V316" s="15"/>
      <c r="W316" s="15"/>
    </row>
    <row r="317">
      <c r="J317" s="15"/>
      <c r="V317" s="15"/>
      <c r="W317" s="15"/>
    </row>
    <row r="318">
      <c r="J318" s="15"/>
      <c r="V318" s="15"/>
      <c r="W318" s="15"/>
    </row>
    <row r="319">
      <c r="J319" s="15"/>
      <c r="V319" s="15"/>
      <c r="W319" s="15"/>
    </row>
    <row r="320">
      <c r="J320" s="15"/>
      <c r="V320" s="15"/>
      <c r="W320" s="15"/>
    </row>
    <row r="321">
      <c r="J321" s="15"/>
      <c r="V321" s="15"/>
      <c r="W321" s="15"/>
    </row>
    <row r="322">
      <c r="J322" s="15"/>
      <c r="V322" s="15"/>
      <c r="W322" s="15"/>
    </row>
    <row r="323">
      <c r="J323" s="15"/>
      <c r="V323" s="15"/>
      <c r="W323" s="15"/>
    </row>
    <row r="324">
      <c r="J324" s="15"/>
      <c r="V324" s="15"/>
      <c r="W324" s="15"/>
    </row>
    <row r="325">
      <c r="J325" s="15"/>
      <c r="V325" s="15"/>
      <c r="W325" s="15"/>
    </row>
    <row r="326">
      <c r="J326" s="15"/>
      <c r="V326" s="15"/>
      <c r="W326" s="15"/>
    </row>
    <row r="327">
      <c r="J327" s="15"/>
      <c r="V327" s="15"/>
      <c r="W327" s="15"/>
    </row>
    <row r="328">
      <c r="J328" s="15"/>
      <c r="V328" s="15"/>
      <c r="W328" s="15"/>
    </row>
    <row r="329">
      <c r="J329" s="15"/>
      <c r="V329" s="15"/>
      <c r="W329" s="15"/>
    </row>
    <row r="330">
      <c r="J330" s="15"/>
      <c r="V330" s="15"/>
      <c r="W330" s="15"/>
    </row>
    <row r="331">
      <c r="J331" s="15"/>
      <c r="V331" s="15"/>
      <c r="W331" s="15"/>
    </row>
    <row r="332">
      <c r="J332" s="15"/>
      <c r="V332" s="15"/>
      <c r="W332" s="15"/>
    </row>
    <row r="333">
      <c r="J333" s="15"/>
      <c r="V333" s="15"/>
      <c r="W333" s="15"/>
    </row>
    <row r="334">
      <c r="J334" s="15"/>
      <c r="V334" s="15"/>
      <c r="W334" s="15"/>
    </row>
    <row r="335">
      <c r="J335" s="15"/>
      <c r="V335" s="15"/>
      <c r="W335" s="15"/>
    </row>
    <row r="336">
      <c r="J336" s="15"/>
      <c r="V336" s="15"/>
      <c r="W336" s="15"/>
    </row>
    <row r="337">
      <c r="J337" s="15"/>
      <c r="V337" s="15"/>
      <c r="W337" s="15"/>
    </row>
    <row r="338">
      <c r="J338" s="15"/>
      <c r="V338" s="15"/>
      <c r="W338" s="15"/>
    </row>
    <row r="339">
      <c r="J339" s="15"/>
      <c r="V339" s="15"/>
      <c r="W339" s="15"/>
    </row>
    <row r="340">
      <c r="J340" s="15"/>
      <c r="V340" s="15"/>
      <c r="W340" s="15"/>
    </row>
    <row r="341">
      <c r="J341" s="15"/>
      <c r="V341" s="15"/>
      <c r="W341" s="15"/>
    </row>
    <row r="342">
      <c r="J342" s="15"/>
      <c r="V342" s="15"/>
      <c r="W342" s="15"/>
    </row>
    <row r="343">
      <c r="J343" s="15"/>
      <c r="V343" s="15"/>
      <c r="W343" s="15"/>
    </row>
    <row r="344">
      <c r="J344" s="15"/>
      <c r="V344" s="15"/>
      <c r="W344" s="15"/>
    </row>
    <row r="345">
      <c r="J345" s="15"/>
      <c r="V345" s="15"/>
      <c r="W345" s="15"/>
    </row>
    <row r="346">
      <c r="J346" s="15"/>
      <c r="V346" s="15"/>
      <c r="W346" s="15"/>
    </row>
    <row r="347">
      <c r="J347" s="15"/>
      <c r="V347" s="15"/>
      <c r="W347" s="15"/>
    </row>
    <row r="348">
      <c r="J348" s="15"/>
      <c r="V348" s="15"/>
      <c r="W348" s="15"/>
    </row>
    <row r="349">
      <c r="J349" s="15"/>
      <c r="V349" s="15"/>
      <c r="W349" s="15"/>
    </row>
    <row r="350">
      <c r="J350" s="15"/>
      <c r="V350" s="15"/>
      <c r="W350" s="15"/>
    </row>
    <row r="351">
      <c r="J351" s="15"/>
      <c r="V351" s="15"/>
      <c r="W351" s="15"/>
    </row>
    <row r="352">
      <c r="J352" s="15"/>
      <c r="V352" s="15"/>
      <c r="W352" s="15"/>
    </row>
    <row r="353">
      <c r="J353" s="15"/>
      <c r="V353" s="15"/>
      <c r="W353" s="15"/>
    </row>
    <row r="354">
      <c r="J354" s="15"/>
      <c r="V354" s="15"/>
      <c r="W354" s="15"/>
    </row>
    <row r="355">
      <c r="J355" s="15"/>
      <c r="V355" s="15"/>
      <c r="W355" s="15"/>
    </row>
    <row r="356">
      <c r="J356" s="15"/>
      <c r="V356" s="15"/>
      <c r="W356" s="15"/>
    </row>
    <row r="357">
      <c r="J357" s="15"/>
      <c r="V357" s="15"/>
      <c r="W357" s="15"/>
    </row>
    <row r="358">
      <c r="J358" s="15"/>
      <c r="V358" s="15"/>
      <c r="W358" s="15"/>
    </row>
    <row r="359">
      <c r="J359" s="15"/>
      <c r="V359" s="15"/>
      <c r="W359" s="15"/>
    </row>
    <row r="360">
      <c r="J360" s="15"/>
      <c r="V360" s="15"/>
      <c r="W360" s="15"/>
    </row>
    <row r="361">
      <c r="J361" s="15"/>
      <c r="V361" s="15"/>
      <c r="W361" s="15"/>
    </row>
    <row r="362">
      <c r="J362" s="15"/>
      <c r="V362" s="15"/>
      <c r="W362" s="15"/>
    </row>
    <row r="363">
      <c r="J363" s="15"/>
      <c r="V363" s="15"/>
      <c r="W363" s="15"/>
    </row>
    <row r="364">
      <c r="J364" s="15"/>
      <c r="V364" s="15"/>
      <c r="W364" s="15"/>
    </row>
    <row r="365">
      <c r="J365" s="15"/>
      <c r="V365" s="15"/>
      <c r="W365" s="15"/>
    </row>
    <row r="366">
      <c r="J366" s="15"/>
      <c r="V366" s="15"/>
      <c r="W366" s="15"/>
    </row>
    <row r="367">
      <c r="J367" s="15"/>
      <c r="V367" s="15"/>
      <c r="W367" s="15"/>
    </row>
    <row r="368">
      <c r="J368" s="15"/>
      <c r="V368" s="15"/>
      <c r="W368" s="15"/>
    </row>
    <row r="369">
      <c r="J369" s="15"/>
      <c r="V369" s="15"/>
      <c r="W369" s="15"/>
    </row>
    <row r="370">
      <c r="J370" s="15"/>
      <c r="V370" s="15"/>
      <c r="W370" s="15"/>
    </row>
    <row r="371">
      <c r="J371" s="15"/>
      <c r="V371" s="15"/>
      <c r="W371" s="15"/>
    </row>
    <row r="372">
      <c r="J372" s="15"/>
      <c r="V372" s="15"/>
      <c r="W372" s="15"/>
    </row>
    <row r="373">
      <c r="J373" s="15"/>
      <c r="V373" s="15"/>
      <c r="W373" s="15"/>
    </row>
    <row r="374">
      <c r="J374" s="15"/>
      <c r="V374" s="15"/>
      <c r="W374" s="15"/>
    </row>
    <row r="375">
      <c r="J375" s="15"/>
      <c r="V375" s="15"/>
      <c r="W375" s="15"/>
    </row>
    <row r="376">
      <c r="J376" s="15"/>
      <c r="V376" s="15"/>
      <c r="W376" s="15"/>
    </row>
    <row r="377">
      <c r="J377" s="15"/>
      <c r="V377" s="15"/>
      <c r="W377" s="15"/>
    </row>
    <row r="378">
      <c r="J378" s="15"/>
      <c r="V378" s="15"/>
      <c r="W378" s="15"/>
    </row>
    <row r="379">
      <c r="J379" s="15"/>
      <c r="V379" s="15"/>
      <c r="W379" s="15"/>
    </row>
    <row r="380">
      <c r="J380" s="15"/>
      <c r="V380" s="15"/>
      <c r="W380" s="15"/>
    </row>
    <row r="381">
      <c r="J381" s="15"/>
      <c r="V381" s="15"/>
      <c r="W381" s="15"/>
    </row>
    <row r="382">
      <c r="J382" s="15"/>
      <c r="V382" s="15"/>
      <c r="W382" s="15"/>
    </row>
    <row r="383">
      <c r="J383" s="15"/>
      <c r="V383" s="15"/>
      <c r="W383" s="15"/>
    </row>
    <row r="384">
      <c r="J384" s="15"/>
      <c r="V384" s="15"/>
      <c r="W384" s="15"/>
    </row>
    <row r="385">
      <c r="J385" s="15"/>
      <c r="V385" s="15"/>
      <c r="W385" s="15"/>
    </row>
    <row r="386">
      <c r="J386" s="15"/>
      <c r="V386" s="15"/>
      <c r="W386" s="15"/>
    </row>
    <row r="387">
      <c r="J387" s="15"/>
      <c r="V387" s="15"/>
      <c r="W387" s="15"/>
    </row>
    <row r="388">
      <c r="J388" s="15"/>
      <c r="V388" s="15"/>
      <c r="W388" s="15"/>
    </row>
    <row r="389">
      <c r="J389" s="15"/>
      <c r="V389" s="15"/>
      <c r="W389" s="15"/>
    </row>
    <row r="390">
      <c r="J390" s="15"/>
      <c r="V390" s="15"/>
      <c r="W390" s="15"/>
    </row>
    <row r="391">
      <c r="J391" s="15"/>
      <c r="V391" s="15"/>
      <c r="W391" s="15"/>
    </row>
    <row r="392">
      <c r="J392" s="15"/>
      <c r="V392" s="15"/>
      <c r="W392" s="15"/>
    </row>
    <row r="393">
      <c r="J393" s="15"/>
      <c r="V393" s="15"/>
      <c r="W393" s="15"/>
    </row>
    <row r="394">
      <c r="J394" s="15"/>
      <c r="V394" s="15"/>
      <c r="W394" s="15"/>
    </row>
    <row r="395">
      <c r="J395" s="15"/>
      <c r="V395" s="15"/>
      <c r="W395" s="15"/>
    </row>
    <row r="396">
      <c r="J396" s="15"/>
      <c r="V396" s="15"/>
      <c r="W396" s="15"/>
    </row>
    <row r="397">
      <c r="J397" s="15"/>
      <c r="V397" s="15"/>
      <c r="W397" s="15"/>
    </row>
    <row r="398">
      <c r="J398" s="15"/>
      <c r="V398" s="15"/>
      <c r="W398" s="15"/>
    </row>
    <row r="399">
      <c r="J399" s="15"/>
      <c r="V399" s="15"/>
      <c r="W399" s="15"/>
    </row>
    <row r="400">
      <c r="J400" s="15"/>
      <c r="V400" s="15"/>
      <c r="W400" s="15"/>
    </row>
    <row r="401">
      <c r="J401" s="15"/>
      <c r="V401" s="15"/>
      <c r="W401" s="15"/>
    </row>
    <row r="402">
      <c r="J402" s="15"/>
      <c r="V402" s="15"/>
      <c r="W402" s="15"/>
    </row>
    <row r="403">
      <c r="J403" s="15"/>
      <c r="V403" s="15"/>
      <c r="W403" s="15"/>
    </row>
    <row r="404">
      <c r="J404" s="15"/>
      <c r="V404" s="15"/>
      <c r="W404" s="15"/>
    </row>
    <row r="405">
      <c r="J405" s="15"/>
      <c r="V405" s="15"/>
      <c r="W405" s="15"/>
    </row>
    <row r="406">
      <c r="J406" s="15"/>
      <c r="V406" s="15"/>
      <c r="W406" s="15"/>
    </row>
    <row r="407">
      <c r="J407" s="15"/>
      <c r="V407" s="15"/>
      <c r="W407" s="15"/>
    </row>
    <row r="408">
      <c r="J408" s="15"/>
      <c r="V408" s="15"/>
      <c r="W408" s="15"/>
    </row>
    <row r="409">
      <c r="J409" s="15"/>
      <c r="V409" s="15"/>
      <c r="W409" s="15"/>
    </row>
    <row r="410">
      <c r="J410" s="15"/>
      <c r="V410" s="15"/>
      <c r="W410" s="15"/>
    </row>
    <row r="411">
      <c r="J411" s="15"/>
      <c r="V411" s="15"/>
      <c r="W411" s="15"/>
    </row>
    <row r="412">
      <c r="J412" s="15"/>
      <c r="V412" s="15"/>
      <c r="W412" s="15"/>
    </row>
    <row r="413">
      <c r="J413" s="15"/>
      <c r="V413" s="15"/>
      <c r="W413" s="15"/>
    </row>
    <row r="414">
      <c r="J414" s="15"/>
      <c r="V414" s="15"/>
      <c r="W414" s="15"/>
    </row>
    <row r="415">
      <c r="J415" s="15"/>
      <c r="V415" s="15"/>
      <c r="W415" s="15"/>
    </row>
    <row r="416">
      <c r="J416" s="15"/>
      <c r="V416" s="15"/>
      <c r="W416" s="15"/>
    </row>
    <row r="417">
      <c r="J417" s="15"/>
      <c r="V417" s="15"/>
      <c r="W417" s="15"/>
    </row>
    <row r="418">
      <c r="J418" s="15"/>
      <c r="V418" s="15"/>
      <c r="W418" s="15"/>
    </row>
    <row r="419">
      <c r="J419" s="15"/>
      <c r="V419" s="15"/>
      <c r="W419" s="15"/>
    </row>
    <row r="420">
      <c r="J420" s="15"/>
      <c r="V420" s="15"/>
      <c r="W420" s="15"/>
    </row>
    <row r="421">
      <c r="J421" s="15"/>
      <c r="V421" s="15"/>
      <c r="W421" s="15"/>
    </row>
    <row r="422">
      <c r="J422" s="15"/>
      <c r="V422" s="15"/>
      <c r="W422" s="15"/>
    </row>
    <row r="423">
      <c r="J423" s="15"/>
      <c r="V423" s="15"/>
      <c r="W423" s="15"/>
    </row>
    <row r="424">
      <c r="J424" s="15"/>
      <c r="V424" s="15"/>
      <c r="W424" s="15"/>
    </row>
    <row r="425">
      <c r="J425" s="15"/>
      <c r="V425" s="15"/>
      <c r="W425" s="15"/>
    </row>
    <row r="426">
      <c r="J426" s="15"/>
      <c r="V426" s="15"/>
      <c r="W426" s="15"/>
    </row>
    <row r="427">
      <c r="J427" s="15"/>
      <c r="V427" s="15"/>
      <c r="W427" s="15"/>
    </row>
    <row r="428">
      <c r="J428" s="15"/>
      <c r="V428" s="15"/>
      <c r="W428" s="15"/>
    </row>
    <row r="429">
      <c r="J429" s="15"/>
      <c r="V429" s="15"/>
      <c r="W429" s="15"/>
    </row>
    <row r="430">
      <c r="J430" s="15"/>
      <c r="V430" s="15"/>
      <c r="W430" s="15"/>
    </row>
    <row r="431">
      <c r="J431" s="15"/>
      <c r="V431" s="15"/>
      <c r="W431" s="15"/>
    </row>
    <row r="432">
      <c r="J432" s="15"/>
      <c r="V432" s="15"/>
      <c r="W432" s="15"/>
    </row>
    <row r="433">
      <c r="J433" s="15"/>
      <c r="V433" s="15"/>
      <c r="W433" s="15"/>
    </row>
    <row r="434">
      <c r="J434" s="15"/>
      <c r="V434" s="15"/>
      <c r="W434" s="15"/>
    </row>
    <row r="435">
      <c r="J435" s="15"/>
      <c r="V435" s="15"/>
      <c r="W435" s="15"/>
    </row>
    <row r="436">
      <c r="J436" s="15"/>
      <c r="V436" s="15"/>
      <c r="W436" s="15"/>
    </row>
    <row r="437">
      <c r="J437" s="15"/>
      <c r="V437" s="15"/>
      <c r="W437" s="15"/>
    </row>
    <row r="438">
      <c r="J438" s="15"/>
      <c r="V438" s="15"/>
      <c r="W438" s="15"/>
    </row>
    <row r="439">
      <c r="J439" s="15"/>
      <c r="V439" s="15"/>
      <c r="W439" s="15"/>
    </row>
    <row r="440">
      <c r="J440" s="15"/>
      <c r="V440" s="15"/>
      <c r="W440" s="15"/>
    </row>
    <row r="441">
      <c r="J441" s="15"/>
      <c r="V441" s="15"/>
      <c r="W441" s="15"/>
    </row>
    <row r="442">
      <c r="J442" s="15"/>
      <c r="V442" s="15"/>
      <c r="W442" s="15"/>
    </row>
    <row r="443">
      <c r="J443" s="15"/>
      <c r="V443" s="15"/>
      <c r="W443" s="15"/>
    </row>
    <row r="444">
      <c r="J444" s="15"/>
      <c r="V444" s="15"/>
      <c r="W444" s="15"/>
    </row>
    <row r="445">
      <c r="J445" s="15"/>
      <c r="V445" s="15"/>
      <c r="W445" s="15"/>
    </row>
    <row r="446">
      <c r="J446" s="15"/>
      <c r="V446" s="15"/>
      <c r="W446" s="15"/>
    </row>
    <row r="447">
      <c r="J447" s="15"/>
      <c r="V447" s="15"/>
      <c r="W447" s="15"/>
    </row>
    <row r="448">
      <c r="J448" s="15"/>
      <c r="V448" s="15"/>
      <c r="W448" s="15"/>
    </row>
    <row r="449">
      <c r="J449" s="15"/>
      <c r="V449" s="15"/>
      <c r="W449" s="15"/>
    </row>
    <row r="450">
      <c r="J450" s="15"/>
      <c r="V450" s="15"/>
      <c r="W450" s="15"/>
    </row>
    <row r="451">
      <c r="J451" s="15"/>
      <c r="V451" s="15"/>
      <c r="W451" s="15"/>
    </row>
    <row r="452">
      <c r="J452" s="15"/>
      <c r="V452" s="15"/>
      <c r="W452" s="15"/>
    </row>
    <row r="453">
      <c r="J453" s="15"/>
      <c r="V453" s="15"/>
      <c r="W453" s="15"/>
    </row>
    <row r="454">
      <c r="J454" s="15"/>
      <c r="V454" s="15"/>
      <c r="W454" s="15"/>
    </row>
    <row r="455">
      <c r="J455" s="15"/>
      <c r="V455" s="15"/>
      <c r="W455" s="15"/>
    </row>
    <row r="456">
      <c r="J456" s="15"/>
      <c r="V456" s="15"/>
      <c r="W456" s="15"/>
    </row>
    <row r="457">
      <c r="J457" s="15"/>
      <c r="V457" s="15"/>
      <c r="W457" s="15"/>
    </row>
    <row r="458">
      <c r="J458" s="15"/>
      <c r="V458" s="15"/>
      <c r="W458" s="15"/>
    </row>
    <row r="459">
      <c r="J459" s="15"/>
      <c r="V459" s="15"/>
      <c r="W459" s="15"/>
    </row>
    <row r="460">
      <c r="J460" s="15"/>
      <c r="V460" s="15"/>
      <c r="W460" s="15"/>
    </row>
    <row r="461">
      <c r="J461" s="15"/>
      <c r="V461" s="15"/>
      <c r="W461" s="15"/>
    </row>
    <row r="462">
      <c r="J462" s="15"/>
      <c r="V462" s="15"/>
      <c r="W462" s="15"/>
    </row>
    <row r="463">
      <c r="J463" s="15"/>
      <c r="V463" s="15"/>
      <c r="W463" s="15"/>
    </row>
    <row r="464">
      <c r="J464" s="15"/>
      <c r="V464" s="15"/>
      <c r="W464" s="15"/>
    </row>
    <row r="465">
      <c r="J465" s="15"/>
      <c r="V465" s="15"/>
      <c r="W465" s="15"/>
    </row>
    <row r="466">
      <c r="J466" s="15"/>
      <c r="V466" s="15"/>
      <c r="W466" s="15"/>
    </row>
    <row r="467">
      <c r="J467" s="15"/>
      <c r="V467" s="15"/>
      <c r="W467" s="15"/>
    </row>
    <row r="468">
      <c r="J468" s="15"/>
      <c r="V468" s="15"/>
      <c r="W468" s="15"/>
    </row>
    <row r="469">
      <c r="J469" s="15"/>
      <c r="V469" s="15"/>
      <c r="W469" s="15"/>
    </row>
    <row r="470">
      <c r="J470" s="15"/>
      <c r="V470" s="15"/>
      <c r="W470" s="15"/>
    </row>
    <row r="471">
      <c r="J471" s="15"/>
      <c r="V471" s="15"/>
      <c r="W471" s="15"/>
    </row>
    <row r="472">
      <c r="J472" s="15"/>
      <c r="V472" s="15"/>
      <c r="W472" s="15"/>
    </row>
    <row r="473">
      <c r="J473" s="15"/>
      <c r="V473" s="15"/>
      <c r="W473" s="15"/>
    </row>
    <row r="474">
      <c r="J474" s="15"/>
      <c r="V474" s="15"/>
      <c r="W474" s="15"/>
    </row>
    <row r="475">
      <c r="J475" s="15"/>
      <c r="V475" s="15"/>
      <c r="W475" s="15"/>
    </row>
    <row r="476">
      <c r="J476" s="15"/>
      <c r="V476" s="15"/>
      <c r="W476" s="15"/>
    </row>
    <row r="477">
      <c r="J477" s="15"/>
      <c r="V477" s="15"/>
      <c r="W477" s="15"/>
    </row>
    <row r="478">
      <c r="J478" s="15"/>
      <c r="V478" s="15"/>
      <c r="W478" s="15"/>
    </row>
    <row r="479">
      <c r="J479" s="15"/>
      <c r="V479" s="15"/>
      <c r="W479" s="15"/>
    </row>
    <row r="480">
      <c r="J480" s="15"/>
      <c r="V480" s="15"/>
      <c r="W480" s="15"/>
    </row>
    <row r="481">
      <c r="J481" s="15"/>
      <c r="V481" s="15"/>
      <c r="W481" s="15"/>
    </row>
    <row r="482">
      <c r="J482" s="15"/>
      <c r="V482" s="15"/>
      <c r="W482" s="15"/>
    </row>
    <row r="483">
      <c r="J483" s="15"/>
      <c r="V483" s="15"/>
      <c r="W483" s="15"/>
    </row>
    <row r="484">
      <c r="J484" s="15"/>
      <c r="V484" s="15"/>
      <c r="W484" s="15"/>
    </row>
    <row r="485">
      <c r="J485" s="15"/>
      <c r="V485" s="15"/>
      <c r="W485" s="15"/>
    </row>
    <row r="486">
      <c r="J486" s="15"/>
      <c r="V486" s="15"/>
      <c r="W486" s="15"/>
    </row>
    <row r="487">
      <c r="J487" s="15"/>
      <c r="V487" s="15"/>
      <c r="W487" s="15"/>
    </row>
    <row r="488">
      <c r="J488" s="15"/>
      <c r="V488" s="15"/>
      <c r="W488" s="15"/>
    </row>
    <row r="489">
      <c r="J489" s="15"/>
      <c r="V489" s="15"/>
      <c r="W489" s="15"/>
    </row>
    <row r="490">
      <c r="J490" s="15"/>
      <c r="V490" s="15"/>
      <c r="W490" s="15"/>
    </row>
    <row r="491">
      <c r="J491" s="15"/>
      <c r="V491" s="15"/>
      <c r="W491" s="15"/>
    </row>
    <row r="492">
      <c r="J492" s="15"/>
      <c r="V492" s="15"/>
      <c r="W492" s="15"/>
    </row>
    <row r="493">
      <c r="J493" s="15"/>
      <c r="V493" s="15"/>
      <c r="W493" s="15"/>
    </row>
    <row r="494">
      <c r="J494" s="15"/>
      <c r="V494" s="15"/>
      <c r="W494" s="15"/>
    </row>
    <row r="495">
      <c r="J495" s="15"/>
      <c r="V495" s="15"/>
      <c r="W495" s="15"/>
    </row>
    <row r="496">
      <c r="J496" s="15"/>
      <c r="V496" s="15"/>
      <c r="W496" s="15"/>
    </row>
    <row r="497">
      <c r="J497" s="15"/>
      <c r="V497" s="15"/>
      <c r="W497" s="15"/>
    </row>
    <row r="498">
      <c r="J498" s="15"/>
      <c r="V498" s="15"/>
      <c r="W498" s="15"/>
    </row>
    <row r="499">
      <c r="J499" s="15"/>
      <c r="V499" s="15"/>
      <c r="W499" s="15"/>
    </row>
    <row r="500">
      <c r="J500" s="15"/>
      <c r="V500" s="15"/>
      <c r="W500" s="15"/>
    </row>
    <row r="501">
      <c r="J501" s="15"/>
      <c r="V501" s="15"/>
      <c r="W501" s="15"/>
    </row>
    <row r="502">
      <c r="J502" s="15"/>
      <c r="V502" s="15"/>
      <c r="W502" s="15"/>
    </row>
    <row r="503">
      <c r="J503" s="15"/>
      <c r="V503" s="15"/>
      <c r="W503" s="15"/>
    </row>
    <row r="504">
      <c r="J504" s="15"/>
      <c r="V504" s="15"/>
      <c r="W504" s="15"/>
    </row>
    <row r="505">
      <c r="J505" s="15"/>
      <c r="V505" s="15"/>
      <c r="W505" s="15"/>
    </row>
    <row r="506">
      <c r="J506" s="15"/>
      <c r="V506" s="15"/>
      <c r="W506" s="15"/>
    </row>
    <row r="507">
      <c r="J507" s="15"/>
      <c r="V507" s="15"/>
      <c r="W507" s="15"/>
    </row>
    <row r="508">
      <c r="J508" s="15"/>
      <c r="V508" s="15"/>
      <c r="W508" s="15"/>
    </row>
    <row r="509">
      <c r="J509" s="15"/>
      <c r="V509" s="15"/>
      <c r="W509" s="15"/>
    </row>
    <row r="510">
      <c r="J510" s="15"/>
      <c r="V510" s="15"/>
      <c r="W510" s="15"/>
    </row>
    <row r="511">
      <c r="J511" s="15"/>
      <c r="V511" s="15"/>
      <c r="W511" s="15"/>
    </row>
    <row r="512">
      <c r="J512" s="15"/>
      <c r="V512" s="15"/>
      <c r="W512" s="15"/>
    </row>
    <row r="513">
      <c r="J513" s="15"/>
      <c r="V513" s="15"/>
      <c r="W513" s="15"/>
    </row>
    <row r="514">
      <c r="J514" s="15"/>
      <c r="V514" s="15"/>
      <c r="W514" s="15"/>
    </row>
    <row r="515">
      <c r="J515" s="15"/>
      <c r="V515" s="15"/>
      <c r="W515" s="15"/>
    </row>
    <row r="516">
      <c r="J516" s="15"/>
      <c r="V516" s="15"/>
      <c r="W516" s="15"/>
    </row>
    <row r="517">
      <c r="J517" s="15"/>
      <c r="V517" s="15"/>
      <c r="W517" s="15"/>
    </row>
    <row r="518">
      <c r="J518" s="15"/>
      <c r="V518" s="15"/>
      <c r="W518" s="15"/>
    </row>
    <row r="519">
      <c r="J519" s="15"/>
      <c r="V519" s="15"/>
      <c r="W519" s="15"/>
    </row>
    <row r="520">
      <c r="J520" s="15"/>
      <c r="V520" s="15"/>
      <c r="W520" s="15"/>
    </row>
    <row r="521">
      <c r="J521" s="15"/>
      <c r="V521" s="15"/>
      <c r="W521" s="15"/>
    </row>
    <row r="522">
      <c r="J522" s="15"/>
      <c r="V522" s="15"/>
      <c r="W522" s="15"/>
    </row>
    <row r="523">
      <c r="J523" s="15"/>
      <c r="V523" s="15"/>
      <c r="W523" s="15"/>
    </row>
    <row r="524">
      <c r="J524" s="15"/>
      <c r="V524" s="15"/>
      <c r="W524" s="15"/>
    </row>
    <row r="525">
      <c r="J525" s="15"/>
      <c r="V525" s="15"/>
      <c r="W525" s="15"/>
    </row>
    <row r="526">
      <c r="J526" s="15"/>
      <c r="V526" s="15"/>
      <c r="W526" s="15"/>
    </row>
    <row r="527">
      <c r="J527" s="15"/>
      <c r="V527" s="15"/>
      <c r="W527" s="15"/>
    </row>
    <row r="528">
      <c r="J528" s="15"/>
      <c r="V528" s="15"/>
      <c r="W528" s="15"/>
    </row>
    <row r="529">
      <c r="J529" s="15"/>
      <c r="V529" s="15"/>
      <c r="W529" s="15"/>
    </row>
    <row r="530">
      <c r="J530" s="15"/>
      <c r="V530" s="15"/>
      <c r="W530" s="15"/>
    </row>
    <row r="531">
      <c r="J531" s="15"/>
      <c r="V531" s="15"/>
      <c r="W531" s="15"/>
    </row>
    <row r="532">
      <c r="J532" s="15"/>
      <c r="V532" s="15"/>
      <c r="W532" s="15"/>
    </row>
    <row r="533">
      <c r="J533" s="15"/>
      <c r="V533" s="15"/>
      <c r="W533" s="15"/>
    </row>
    <row r="534">
      <c r="J534" s="15"/>
      <c r="V534" s="15"/>
      <c r="W534" s="15"/>
    </row>
    <row r="535">
      <c r="J535" s="15"/>
      <c r="V535" s="15"/>
      <c r="W535" s="15"/>
    </row>
    <row r="536">
      <c r="J536" s="15"/>
      <c r="V536" s="15"/>
      <c r="W536" s="15"/>
    </row>
    <row r="537">
      <c r="J537" s="15"/>
      <c r="V537" s="15"/>
      <c r="W537" s="15"/>
    </row>
    <row r="538">
      <c r="J538" s="15"/>
      <c r="V538" s="15"/>
      <c r="W538" s="15"/>
    </row>
    <row r="539">
      <c r="J539" s="15"/>
      <c r="V539" s="15"/>
      <c r="W539" s="15"/>
    </row>
    <row r="540">
      <c r="J540" s="15"/>
      <c r="V540" s="15"/>
      <c r="W540" s="15"/>
    </row>
    <row r="541">
      <c r="J541" s="15"/>
      <c r="V541" s="15"/>
      <c r="W541" s="15"/>
    </row>
    <row r="542">
      <c r="J542" s="15"/>
      <c r="V542" s="15"/>
      <c r="W542" s="15"/>
    </row>
    <row r="543">
      <c r="J543" s="15"/>
      <c r="V543" s="15"/>
      <c r="W543" s="15"/>
    </row>
    <row r="544">
      <c r="J544" s="15"/>
      <c r="V544" s="15"/>
      <c r="W544" s="15"/>
    </row>
    <row r="545">
      <c r="J545" s="15"/>
      <c r="V545" s="15"/>
      <c r="W545" s="15"/>
    </row>
    <row r="546">
      <c r="J546" s="15"/>
      <c r="V546" s="15"/>
      <c r="W546" s="15"/>
    </row>
    <row r="547">
      <c r="J547" s="15"/>
      <c r="V547" s="15"/>
      <c r="W547" s="15"/>
    </row>
    <row r="548">
      <c r="J548" s="15"/>
      <c r="V548" s="15"/>
      <c r="W548" s="15"/>
    </row>
    <row r="549">
      <c r="J549" s="15"/>
      <c r="V549" s="15"/>
      <c r="W549" s="15"/>
    </row>
    <row r="550">
      <c r="J550" s="15"/>
      <c r="V550" s="15"/>
      <c r="W550" s="15"/>
    </row>
    <row r="551">
      <c r="J551" s="15"/>
      <c r="V551" s="15"/>
      <c r="W551" s="15"/>
    </row>
    <row r="552">
      <c r="J552" s="15"/>
      <c r="V552" s="15"/>
      <c r="W552" s="15"/>
    </row>
    <row r="553">
      <c r="J553" s="15"/>
      <c r="V553" s="15"/>
      <c r="W553" s="15"/>
    </row>
    <row r="554">
      <c r="J554" s="15"/>
      <c r="V554" s="15"/>
      <c r="W554" s="15"/>
    </row>
    <row r="555">
      <c r="J555" s="15"/>
      <c r="V555" s="15"/>
      <c r="W555" s="15"/>
    </row>
    <row r="556">
      <c r="J556" s="15"/>
      <c r="V556" s="15"/>
      <c r="W556" s="15"/>
    </row>
    <row r="557">
      <c r="J557" s="15"/>
      <c r="V557" s="15"/>
      <c r="W557" s="15"/>
    </row>
    <row r="558">
      <c r="J558" s="15"/>
      <c r="V558" s="15"/>
      <c r="W558" s="15"/>
    </row>
    <row r="559">
      <c r="J559" s="15"/>
      <c r="V559" s="15"/>
      <c r="W559" s="15"/>
    </row>
    <row r="560">
      <c r="J560" s="15"/>
      <c r="V560" s="15"/>
      <c r="W560" s="15"/>
    </row>
    <row r="561">
      <c r="J561" s="15"/>
      <c r="V561" s="15"/>
      <c r="W561" s="15"/>
    </row>
    <row r="562">
      <c r="J562" s="15"/>
      <c r="V562" s="15"/>
      <c r="W562" s="15"/>
    </row>
    <row r="563">
      <c r="J563" s="15"/>
      <c r="V563" s="15"/>
      <c r="W563" s="15"/>
    </row>
    <row r="564">
      <c r="J564" s="15"/>
      <c r="V564" s="15"/>
      <c r="W564" s="15"/>
    </row>
    <row r="565">
      <c r="J565" s="15"/>
      <c r="V565" s="15"/>
      <c r="W565" s="15"/>
    </row>
    <row r="566">
      <c r="J566" s="15"/>
      <c r="V566" s="15"/>
      <c r="W566" s="15"/>
    </row>
    <row r="567">
      <c r="J567" s="15"/>
      <c r="V567" s="15"/>
      <c r="W567" s="15"/>
    </row>
    <row r="568">
      <c r="J568" s="15"/>
      <c r="V568" s="15"/>
      <c r="W568" s="15"/>
    </row>
    <row r="569">
      <c r="J569" s="15"/>
      <c r="V569" s="15"/>
      <c r="W569" s="15"/>
    </row>
    <row r="570">
      <c r="J570" s="15"/>
      <c r="V570" s="15"/>
      <c r="W570" s="15"/>
    </row>
    <row r="571">
      <c r="J571" s="15"/>
      <c r="V571" s="15"/>
      <c r="W571" s="15"/>
    </row>
    <row r="572">
      <c r="J572" s="15"/>
      <c r="V572" s="15"/>
      <c r="W572" s="15"/>
    </row>
    <row r="573">
      <c r="J573" s="15"/>
      <c r="V573" s="15"/>
      <c r="W573" s="15"/>
    </row>
    <row r="574">
      <c r="J574" s="15"/>
      <c r="V574" s="15"/>
      <c r="W574" s="15"/>
    </row>
    <row r="575">
      <c r="J575" s="15"/>
      <c r="V575" s="15"/>
      <c r="W575" s="15"/>
    </row>
    <row r="576">
      <c r="J576" s="15"/>
      <c r="V576" s="15"/>
      <c r="W576" s="15"/>
    </row>
    <row r="577">
      <c r="J577" s="15"/>
      <c r="V577" s="15"/>
      <c r="W577" s="15"/>
    </row>
    <row r="578">
      <c r="J578" s="15"/>
      <c r="V578" s="15"/>
      <c r="W578" s="15"/>
    </row>
    <row r="579">
      <c r="J579" s="15"/>
      <c r="V579" s="15"/>
      <c r="W579" s="15"/>
    </row>
    <row r="580">
      <c r="J580" s="15"/>
      <c r="V580" s="15"/>
      <c r="W580" s="15"/>
    </row>
    <row r="581">
      <c r="J581" s="15"/>
      <c r="V581" s="15"/>
      <c r="W581" s="15"/>
    </row>
    <row r="582">
      <c r="J582" s="15"/>
      <c r="V582" s="15"/>
      <c r="W582" s="15"/>
    </row>
    <row r="583">
      <c r="J583" s="15"/>
      <c r="V583" s="15"/>
      <c r="W583" s="15"/>
    </row>
    <row r="584">
      <c r="J584" s="15"/>
      <c r="V584" s="15"/>
      <c r="W584" s="15"/>
    </row>
    <row r="585">
      <c r="J585" s="15"/>
      <c r="V585" s="15"/>
      <c r="W585" s="15"/>
    </row>
    <row r="586">
      <c r="J586" s="15"/>
      <c r="V586" s="15"/>
      <c r="W586" s="15"/>
    </row>
    <row r="587">
      <c r="J587" s="15"/>
      <c r="V587" s="15"/>
      <c r="W587" s="15"/>
    </row>
    <row r="588">
      <c r="J588" s="15"/>
      <c r="V588" s="15"/>
      <c r="W588" s="15"/>
    </row>
    <row r="589">
      <c r="J589" s="15"/>
      <c r="V589" s="15"/>
      <c r="W589" s="15"/>
    </row>
    <row r="590">
      <c r="J590" s="15"/>
      <c r="V590" s="15"/>
      <c r="W590" s="15"/>
    </row>
    <row r="591">
      <c r="J591" s="15"/>
      <c r="V591" s="15"/>
      <c r="W591" s="15"/>
    </row>
    <row r="592">
      <c r="J592" s="15"/>
      <c r="V592" s="15"/>
      <c r="W592" s="15"/>
    </row>
    <row r="593">
      <c r="J593" s="15"/>
      <c r="V593" s="15"/>
      <c r="W593" s="15"/>
    </row>
    <row r="594">
      <c r="J594" s="15"/>
      <c r="V594" s="15"/>
      <c r="W594" s="15"/>
    </row>
    <row r="595">
      <c r="J595" s="15"/>
      <c r="V595" s="15"/>
      <c r="W595" s="15"/>
    </row>
    <row r="596">
      <c r="J596" s="15"/>
      <c r="V596" s="15"/>
      <c r="W596" s="15"/>
    </row>
    <row r="597">
      <c r="J597" s="15"/>
      <c r="V597" s="15"/>
      <c r="W597" s="15"/>
    </row>
    <row r="598">
      <c r="J598" s="15"/>
      <c r="V598" s="15"/>
      <c r="W598" s="15"/>
    </row>
    <row r="599">
      <c r="J599" s="15"/>
      <c r="V599" s="15"/>
      <c r="W599" s="15"/>
    </row>
    <row r="600">
      <c r="J600" s="15"/>
      <c r="V600" s="15"/>
      <c r="W600" s="15"/>
    </row>
    <row r="601">
      <c r="J601" s="15"/>
      <c r="V601" s="15"/>
      <c r="W601" s="15"/>
    </row>
    <row r="602">
      <c r="J602" s="15"/>
      <c r="V602" s="15"/>
      <c r="W602" s="15"/>
    </row>
    <row r="603">
      <c r="J603" s="15"/>
      <c r="V603" s="15"/>
      <c r="W603" s="15"/>
    </row>
    <row r="604">
      <c r="J604" s="15"/>
      <c r="V604" s="15"/>
      <c r="W604" s="15"/>
    </row>
    <row r="605">
      <c r="J605" s="15"/>
      <c r="V605" s="15"/>
      <c r="W605" s="15"/>
    </row>
    <row r="606">
      <c r="J606" s="15"/>
      <c r="V606" s="15"/>
      <c r="W606" s="15"/>
    </row>
    <row r="607">
      <c r="J607" s="15"/>
      <c r="V607" s="15"/>
      <c r="W607" s="15"/>
    </row>
    <row r="608">
      <c r="J608" s="15"/>
      <c r="V608" s="15"/>
      <c r="W608" s="15"/>
    </row>
    <row r="609">
      <c r="J609" s="15"/>
      <c r="V609" s="15"/>
      <c r="W609" s="15"/>
    </row>
    <row r="610">
      <c r="J610" s="15"/>
      <c r="V610" s="15"/>
      <c r="W610" s="15"/>
    </row>
    <row r="611">
      <c r="J611" s="15"/>
      <c r="V611" s="15"/>
      <c r="W611" s="15"/>
    </row>
    <row r="612">
      <c r="J612" s="15"/>
      <c r="V612" s="15"/>
      <c r="W612" s="15"/>
    </row>
    <row r="613">
      <c r="J613" s="15"/>
      <c r="V613" s="15"/>
      <c r="W613" s="15"/>
    </row>
    <row r="614">
      <c r="J614" s="15"/>
      <c r="V614" s="15"/>
      <c r="W614" s="15"/>
    </row>
    <row r="615">
      <c r="J615" s="15"/>
      <c r="V615" s="15"/>
      <c r="W615" s="15"/>
    </row>
    <row r="616">
      <c r="J616" s="15"/>
      <c r="V616" s="15"/>
      <c r="W616" s="15"/>
    </row>
    <row r="617">
      <c r="J617" s="15"/>
      <c r="V617" s="15"/>
      <c r="W617" s="15"/>
    </row>
    <row r="618">
      <c r="J618" s="15"/>
      <c r="V618" s="15"/>
      <c r="W618" s="15"/>
    </row>
    <row r="619">
      <c r="J619" s="15"/>
      <c r="V619" s="15"/>
      <c r="W619" s="15"/>
    </row>
    <row r="620">
      <c r="J620" s="15"/>
      <c r="V620" s="15"/>
      <c r="W620" s="15"/>
    </row>
    <row r="621">
      <c r="J621" s="15"/>
      <c r="V621" s="15"/>
      <c r="W621" s="15"/>
    </row>
    <row r="622">
      <c r="J622" s="15"/>
      <c r="V622" s="15"/>
      <c r="W622" s="15"/>
    </row>
    <row r="623">
      <c r="J623" s="15"/>
      <c r="V623" s="15"/>
      <c r="W623" s="15"/>
    </row>
    <row r="624">
      <c r="J624" s="15"/>
      <c r="V624" s="15"/>
      <c r="W624" s="15"/>
    </row>
    <row r="625">
      <c r="J625" s="15"/>
      <c r="V625" s="15"/>
      <c r="W625" s="15"/>
    </row>
    <row r="626">
      <c r="J626" s="15"/>
      <c r="V626" s="15"/>
      <c r="W626" s="15"/>
    </row>
    <row r="627">
      <c r="J627" s="15"/>
      <c r="V627" s="15"/>
      <c r="W627" s="15"/>
    </row>
    <row r="628">
      <c r="J628" s="15"/>
      <c r="V628" s="15"/>
      <c r="W628" s="15"/>
    </row>
    <row r="629">
      <c r="J629" s="15"/>
      <c r="V629" s="15"/>
      <c r="W629" s="15"/>
    </row>
    <row r="630">
      <c r="J630" s="15"/>
      <c r="V630" s="15"/>
      <c r="W630" s="15"/>
    </row>
    <row r="631">
      <c r="J631" s="15"/>
      <c r="V631" s="15"/>
      <c r="W631" s="15"/>
    </row>
    <row r="632">
      <c r="J632" s="15"/>
      <c r="V632" s="15"/>
      <c r="W632" s="15"/>
    </row>
    <row r="633">
      <c r="J633" s="15"/>
      <c r="V633" s="15"/>
      <c r="W633" s="15"/>
    </row>
    <row r="634">
      <c r="J634" s="15"/>
      <c r="V634" s="15"/>
      <c r="W634" s="15"/>
    </row>
    <row r="635">
      <c r="J635" s="15"/>
      <c r="V635" s="15"/>
      <c r="W635" s="15"/>
    </row>
    <row r="636">
      <c r="J636" s="15"/>
      <c r="V636" s="15"/>
      <c r="W636" s="15"/>
    </row>
    <row r="637">
      <c r="J637" s="15"/>
      <c r="V637" s="15"/>
      <c r="W637" s="15"/>
    </row>
    <row r="638">
      <c r="J638" s="15"/>
      <c r="V638" s="15"/>
      <c r="W638" s="15"/>
    </row>
    <row r="639">
      <c r="J639" s="15"/>
      <c r="V639" s="15"/>
      <c r="W639" s="15"/>
    </row>
    <row r="640">
      <c r="J640" s="15"/>
      <c r="V640" s="15"/>
      <c r="W640" s="15"/>
    </row>
    <row r="641">
      <c r="J641" s="15"/>
      <c r="V641" s="15"/>
      <c r="W641" s="15"/>
    </row>
    <row r="642">
      <c r="J642" s="15"/>
      <c r="V642" s="15"/>
      <c r="W642" s="15"/>
    </row>
    <row r="643">
      <c r="J643" s="15"/>
      <c r="V643" s="15"/>
      <c r="W643" s="15"/>
    </row>
    <row r="644">
      <c r="J644" s="15"/>
      <c r="V644" s="15"/>
      <c r="W644" s="15"/>
    </row>
    <row r="645">
      <c r="J645" s="15"/>
      <c r="V645" s="15"/>
      <c r="W645" s="15"/>
    </row>
    <row r="646">
      <c r="J646" s="15"/>
      <c r="V646" s="15"/>
      <c r="W646" s="15"/>
    </row>
    <row r="647">
      <c r="J647" s="15"/>
      <c r="V647" s="15"/>
      <c r="W647" s="15"/>
    </row>
    <row r="648">
      <c r="J648" s="15"/>
      <c r="V648" s="15"/>
      <c r="W648" s="15"/>
    </row>
    <row r="649">
      <c r="J649" s="15"/>
      <c r="V649" s="15"/>
      <c r="W649" s="15"/>
    </row>
    <row r="650">
      <c r="J650" s="15"/>
      <c r="V650" s="15"/>
      <c r="W650" s="15"/>
    </row>
    <row r="651">
      <c r="J651" s="15"/>
      <c r="V651" s="15"/>
      <c r="W651" s="15"/>
    </row>
    <row r="652">
      <c r="J652" s="15"/>
      <c r="V652" s="15"/>
      <c r="W652" s="15"/>
    </row>
    <row r="653">
      <c r="J653" s="15"/>
      <c r="V653" s="15"/>
      <c r="W653" s="15"/>
    </row>
    <row r="654">
      <c r="J654" s="15"/>
      <c r="V654" s="15"/>
      <c r="W654" s="15"/>
    </row>
    <row r="655">
      <c r="J655" s="15"/>
      <c r="V655" s="15"/>
      <c r="W655" s="15"/>
    </row>
    <row r="656">
      <c r="J656" s="15"/>
      <c r="V656" s="15"/>
      <c r="W656" s="15"/>
    </row>
    <row r="657">
      <c r="J657" s="15"/>
      <c r="V657" s="15"/>
      <c r="W657" s="15"/>
    </row>
    <row r="658">
      <c r="J658" s="15"/>
      <c r="V658" s="15"/>
      <c r="W658" s="15"/>
    </row>
    <row r="659">
      <c r="J659" s="15"/>
      <c r="V659" s="15"/>
      <c r="W659" s="15"/>
    </row>
    <row r="660">
      <c r="J660" s="15"/>
      <c r="V660" s="15"/>
      <c r="W660" s="15"/>
    </row>
    <row r="661">
      <c r="J661" s="15"/>
      <c r="V661" s="15"/>
      <c r="W661" s="15"/>
    </row>
    <row r="662">
      <c r="J662" s="15"/>
      <c r="V662" s="15"/>
      <c r="W662" s="15"/>
    </row>
    <row r="663">
      <c r="J663" s="15"/>
      <c r="V663" s="15"/>
      <c r="W663" s="15"/>
    </row>
    <row r="664">
      <c r="J664" s="15"/>
      <c r="V664" s="15"/>
      <c r="W664" s="15"/>
    </row>
    <row r="665">
      <c r="J665" s="15"/>
      <c r="V665" s="15"/>
      <c r="W665" s="15"/>
    </row>
    <row r="666">
      <c r="J666" s="15"/>
      <c r="V666" s="15"/>
      <c r="W666" s="15"/>
    </row>
    <row r="667">
      <c r="J667" s="15"/>
      <c r="V667" s="15"/>
      <c r="W667" s="15"/>
    </row>
    <row r="668">
      <c r="J668" s="15"/>
      <c r="V668" s="15"/>
      <c r="W668" s="15"/>
    </row>
    <row r="669">
      <c r="J669" s="15"/>
      <c r="V669" s="15"/>
      <c r="W669" s="15"/>
    </row>
    <row r="670">
      <c r="J670" s="15"/>
      <c r="V670" s="15"/>
      <c r="W670" s="15"/>
    </row>
    <row r="671">
      <c r="J671" s="15"/>
      <c r="V671" s="15"/>
      <c r="W671" s="15"/>
    </row>
    <row r="672">
      <c r="J672" s="15"/>
      <c r="V672" s="15"/>
      <c r="W672" s="15"/>
    </row>
    <row r="673">
      <c r="J673" s="15"/>
      <c r="V673" s="15"/>
      <c r="W673" s="15"/>
    </row>
    <row r="674">
      <c r="J674" s="15"/>
      <c r="V674" s="15"/>
      <c r="W674" s="15"/>
    </row>
    <row r="675">
      <c r="J675" s="15"/>
      <c r="V675" s="15"/>
      <c r="W675" s="15"/>
    </row>
    <row r="676">
      <c r="J676" s="15"/>
      <c r="V676" s="15"/>
      <c r="W676" s="15"/>
    </row>
    <row r="677">
      <c r="J677" s="15"/>
      <c r="V677" s="15"/>
      <c r="W677" s="15"/>
    </row>
    <row r="678">
      <c r="J678" s="15"/>
      <c r="V678" s="15"/>
      <c r="W678" s="15"/>
    </row>
    <row r="679">
      <c r="J679" s="15"/>
      <c r="V679" s="15"/>
      <c r="W679" s="15"/>
    </row>
    <row r="680">
      <c r="J680" s="15"/>
      <c r="V680" s="15"/>
      <c r="W680" s="15"/>
    </row>
    <row r="681">
      <c r="J681" s="15"/>
      <c r="V681" s="15"/>
      <c r="W681" s="15"/>
    </row>
    <row r="682">
      <c r="J682" s="15"/>
      <c r="V682" s="15"/>
      <c r="W682" s="15"/>
    </row>
    <row r="683">
      <c r="J683" s="15"/>
      <c r="V683" s="15"/>
      <c r="W683" s="15"/>
    </row>
    <row r="684">
      <c r="J684" s="15"/>
      <c r="V684" s="15"/>
      <c r="W684" s="15"/>
    </row>
    <row r="685">
      <c r="J685" s="15"/>
      <c r="V685" s="15"/>
      <c r="W685" s="15"/>
    </row>
    <row r="686">
      <c r="J686" s="15"/>
      <c r="V686" s="15"/>
      <c r="W686" s="15"/>
    </row>
    <row r="687">
      <c r="J687" s="15"/>
      <c r="V687" s="15"/>
      <c r="W687" s="15"/>
    </row>
    <row r="688">
      <c r="J688" s="15"/>
      <c r="V688" s="15"/>
      <c r="W688" s="15"/>
    </row>
    <row r="689">
      <c r="J689" s="15"/>
      <c r="V689" s="15"/>
      <c r="W689" s="15"/>
    </row>
    <row r="690">
      <c r="J690" s="15"/>
      <c r="V690" s="15"/>
      <c r="W690" s="15"/>
    </row>
    <row r="691">
      <c r="J691" s="15"/>
      <c r="V691" s="15"/>
      <c r="W691" s="15"/>
    </row>
    <row r="692">
      <c r="J692" s="15"/>
      <c r="V692" s="15"/>
      <c r="W692" s="15"/>
    </row>
    <row r="693">
      <c r="J693" s="15"/>
      <c r="V693" s="15"/>
      <c r="W693" s="15"/>
    </row>
    <row r="694">
      <c r="J694" s="15"/>
      <c r="V694" s="15"/>
      <c r="W694" s="15"/>
    </row>
    <row r="695">
      <c r="J695" s="15"/>
      <c r="V695" s="15"/>
      <c r="W695" s="15"/>
    </row>
    <row r="696">
      <c r="J696" s="15"/>
      <c r="V696" s="15"/>
      <c r="W696" s="15"/>
    </row>
    <row r="697">
      <c r="J697" s="15"/>
      <c r="V697" s="15"/>
      <c r="W697" s="15"/>
    </row>
    <row r="698">
      <c r="J698" s="15"/>
      <c r="V698" s="15"/>
      <c r="W698" s="15"/>
    </row>
    <row r="699">
      <c r="J699" s="15"/>
      <c r="V699" s="15"/>
      <c r="W699" s="15"/>
    </row>
    <row r="700">
      <c r="J700" s="15"/>
      <c r="V700" s="15"/>
      <c r="W700" s="15"/>
    </row>
    <row r="701">
      <c r="J701" s="15"/>
      <c r="V701" s="15"/>
      <c r="W701" s="15"/>
    </row>
    <row r="702">
      <c r="J702" s="15"/>
      <c r="V702" s="15"/>
      <c r="W702" s="15"/>
    </row>
    <row r="703">
      <c r="J703" s="15"/>
      <c r="V703" s="15"/>
      <c r="W703" s="15"/>
    </row>
    <row r="704">
      <c r="J704" s="15"/>
      <c r="V704" s="15"/>
      <c r="W704" s="15"/>
    </row>
    <row r="705">
      <c r="J705" s="15"/>
      <c r="V705" s="15"/>
      <c r="W705" s="15"/>
    </row>
    <row r="706">
      <c r="J706" s="15"/>
      <c r="V706" s="15"/>
      <c r="W706" s="15"/>
    </row>
    <row r="707">
      <c r="J707" s="15"/>
      <c r="V707" s="15"/>
      <c r="W707" s="15"/>
    </row>
    <row r="708">
      <c r="J708" s="15"/>
      <c r="V708" s="15"/>
      <c r="W708" s="15"/>
    </row>
    <row r="709">
      <c r="J709" s="15"/>
      <c r="V709" s="15"/>
      <c r="W709" s="15"/>
    </row>
    <row r="710">
      <c r="J710" s="15"/>
      <c r="V710" s="15"/>
      <c r="W710" s="15"/>
    </row>
    <row r="711">
      <c r="J711" s="15"/>
      <c r="V711" s="15"/>
      <c r="W711" s="15"/>
    </row>
    <row r="712">
      <c r="J712" s="15"/>
      <c r="V712" s="15"/>
      <c r="W712" s="15"/>
    </row>
    <row r="713">
      <c r="J713" s="15"/>
      <c r="V713" s="15"/>
      <c r="W713" s="15"/>
    </row>
    <row r="714">
      <c r="J714" s="15"/>
      <c r="V714" s="15"/>
      <c r="W714" s="15"/>
    </row>
    <row r="715">
      <c r="J715" s="15"/>
      <c r="V715" s="15"/>
      <c r="W715" s="15"/>
    </row>
    <row r="716">
      <c r="J716" s="15"/>
      <c r="V716" s="15"/>
      <c r="W716" s="15"/>
    </row>
    <row r="717">
      <c r="J717" s="15"/>
      <c r="V717" s="15"/>
      <c r="W717" s="15"/>
    </row>
    <row r="718">
      <c r="J718" s="15"/>
      <c r="V718" s="15"/>
      <c r="W718" s="15"/>
    </row>
    <row r="719">
      <c r="J719" s="15"/>
      <c r="V719" s="15"/>
      <c r="W719" s="15"/>
    </row>
    <row r="720">
      <c r="J720" s="15"/>
      <c r="V720" s="15"/>
      <c r="W720" s="15"/>
    </row>
    <row r="721">
      <c r="J721" s="15"/>
      <c r="V721" s="15"/>
      <c r="W721" s="15"/>
    </row>
    <row r="722">
      <c r="J722" s="15"/>
      <c r="V722" s="15"/>
      <c r="W722" s="15"/>
    </row>
    <row r="723">
      <c r="J723" s="15"/>
      <c r="V723" s="15"/>
      <c r="W723" s="15"/>
    </row>
    <row r="724">
      <c r="J724" s="15"/>
      <c r="V724" s="15"/>
      <c r="W724" s="15"/>
    </row>
    <row r="725">
      <c r="J725" s="15"/>
      <c r="V725" s="15"/>
      <c r="W725" s="15"/>
    </row>
    <row r="726">
      <c r="J726" s="15"/>
      <c r="V726" s="15"/>
      <c r="W726" s="15"/>
    </row>
    <row r="727">
      <c r="J727" s="15"/>
      <c r="V727" s="15"/>
      <c r="W727" s="15"/>
    </row>
    <row r="728">
      <c r="J728" s="15"/>
      <c r="V728" s="15"/>
      <c r="W728" s="15"/>
    </row>
    <row r="729">
      <c r="J729" s="15"/>
      <c r="V729" s="15"/>
      <c r="W729" s="15"/>
    </row>
    <row r="730">
      <c r="J730" s="15"/>
      <c r="V730" s="15"/>
      <c r="W730" s="15"/>
    </row>
    <row r="731">
      <c r="J731" s="15"/>
      <c r="V731" s="15"/>
      <c r="W731" s="15"/>
    </row>
    <row r="732">
      <c r="J732" s="15"/>
      <c r="V732" s="15"/>
      <c r="W732" s="15"/>
    </row>
    <row r="733">
      <c r="J733" s="15"/>
      <c r="V733" s="15"/>
      <c r="W733" s="15"/>
    </row>
    <row r="734">
      <c r="J734" s="15"/>
      <c r="V734" s="15"/>
      <c r="W734" s="15"/>
    </row>
    <row r="735">
      <c r="J735" s="15"/>
      <c r="V735" s="15"/>
      <c r="W735" s="15"/>
    </row>
    <row r="736">
      <c r="J736" s="15"/>
      <c r="V736" s="15"/>
      <c r="W736" s="15"/>
    </row>
    <row r="737">
      <c r="J737" s="15"/>
      <c r="V737" s="15"/>
      <c r="W737" s="15"/>
    </row>
    <row r="738">
      <c r="J738" s="15"/>
      <c r="V738" s="15"/>
      <c r="W738" s="15"/>
    </row>
    <row r="739">
      <c r="J739" s="15"/>
      <c r="V739" s="15"/>
      <c r="W739" s="15"/>
    </row>
    <row r="740">
      <c r="J740" s="15"/>
      <c r="V740" s="15"/>
      <c r="W740" s="15"/>
    </row>
    <row r="741">
      <c r="J741" s="15"/>
      <c r="V741" s="15"/>
      <c r="W741" s="15"/>
    </row>
    <row r="742">
      <c r="J742" s="15"/>
      <c r="V742" s="15"/>
      <c r="W742" s="15"/>
    </row>
    <row r="743">
      <c r="J743" s="15"/>
      <c r="V743" s="15"/>
      <c r="W743" s="15"/>
    </row>
    <row r="744">
      <c r="J744" s="15"/>
      <c r="V744" s="15"/>
      <c r="W744" s="15"/>
    </row>
    <row r="745">
      <c r="J745" s="15"/>
      <c r="V745" s="15"/>
      <c r="W745" s="15"/>
    </row>
    <row r="746">
      <c r="J746" s="15"/>
      <c r="V746" s="15"/>
      <c r="W746" s="15"/>
    </row>
    <row r="747">
      <c r="J747" s="15"/>
      <c r="V747" s="15"/>
      <c r="W747" s="15"/>
    </row>
    <row r="748">
      <c r="J748" s="15"/>
      <c r="V748" s="15"/>
      <c r="W748" s="15"/>
    </row>
    <row r="749">
      <c r="J749" s="15"/>
      <c r="V749" s="15"/>
      <c r="W749" s="15"/>
    </row>
    <row r="750">
      <c r="J750" s="15"/>
      <c r="V750" s="15"/>
      <c r="W750" s="15"/>
    </row>
    <row r="751">
      <c r="J751" s="15"/>
      <c r="V751" s="15"/>
      <c r="W751" s="15"/>
    </row>
    <row r="752">
      <c r="J752" s="15"/>
      <c r="V752" s="15"/>
      <c r="W752" s="15"/>
    </row>
    <row r="753">
      <c r="J753" s="15"/>
      <c r="V753" s="15"/>
      <c r="W753" s="15"/>
    </row>
    <row r="754">
      <c r="J754" s="15"/>
      <c r="V754" s="15"/>
      <c r="W754" s="15"/>
    </row>
    <row r="755">
      <c r="J755" s="15"/>
      <c r="V755" s="15"/>
      <c r="W755" s="15"/>
    </row>
    <row r="756">
      <c r="J756" s="15"/>
      <c r="V756" s="15"/>
      <c r="W756" s="15"/>
    </row>
    <row r="757">
      <c r="J757" s="15"/>
      <c r="V757" s="15"/>
      <c r="W757" s="15"/>
    </row>
    <row r="758">
      <c r="J758" s="15"/>
      <c r="V758" s="15"/>
      <c r="W758" s="15"/>
    </row>
    <row r="759">
      <c r="J759" s="15"/>
      <c r="V759" s="15"/>
      <c r="W759" s="15"/>
    </row>
    <row r="760">
      <c r="J760" s="15"/>
      <c r="V760" s="15"/>
      <c r="W760" s="15"/>
    </row>
    <row r="761">
      <c r="J761" s="15"/>
      <c r="V761" s="15"/>
      <c r="W761" s="15"/>
    </row>
    <row r="762">
      <c r="J762" s="15"/>
      <c r="V762" s="15"/>
      <c r="W762" s="15"/>
    </row>
    <row r="763">
      <c r="J763" s="15"/>
      <c r="V763" s="15"/>
      <c r="W763" s="15"/>
    </row>
    <row r="764">
      <c r="J764" s="15"/>
      <c r="V764" s="15"/>
      <c r="W764" s="15"/>
    </row>
    <row r="765">
      <c r="J765" s="15"/>
      <c r="V765" s="15"/>
      <c r="W765" s="15"/>
    </row>
    <row r="766">
      <c r="J766" s="15"/>
      <c r="V766" s="15"/>
      <c r="W766" s="15"/>
    </row>
    <row r="767">
      <c r="J767" s="15"/>
      <c r="V767" s="15"/>
      <c r="W767" s="15"/>
    </row>
    <row r="768">
      <c r="J768" s="15"/>
      <c r="V768" s="15"/>
      <c r="W768" s="15"/>
    </row>
    <row r="769">
      <c r="J769" s="15"/>
      <c r="V769" s="15"/>
      <c r="W769" s="15"/>
    </row>
    <row r="770">
      <c r="J770" s="15"/>
      <c r="V770" s="15"/>
      <c r="W770" s="15"/>
    </row>
    <row r="771">
      <c r="J771" s="15"/>
      <c r="V771" s="15"/>
      <c r="W771" s="15"/>
    </row>
    <row r="772">
      <c r="J772" s="15"/>
      <c r="V772" s="15"/>
      <c r="W772" s="15"/>
    </row>
    <row r="773">
      <c r="J773" s="15"/>
      <c r="V773" s="15"/>
      <c r="W773" s="15"/>
    </row>
    <row r="774">
      <c r="J774" s="15"/>
      <c r="V774" s="15"/>
      <c r="W774" s="15"/>
    </row>
    <row r="775">
      <c r="J775" s="15"/>
      <c r="V775" s="15"/>
      <c r="W775" s="15"/>
    </row>
    <row r="776">
      <c r="J776" s="15"/>
      <c r="V776" s="15"/>
      <c r="W776" s="15"/>
    </row>
    <row r="777">
      <c r="J777" s="15"/>
      <c r="V777" s="15"/>
      <c r="W777" s="15"/>
    </row>
    <row r="778">
      <c r="J778" s="15"/>
      <c r="V778" s="15"/>
      <c r="W778" s="15"/>
    </row>
    <row r="779">
      <c r="J779" s="15"/>
      <c r="V779" s="15"/>
      <c r="W779" s="15"/>
    </row>
    <row r="780">
      <c r="J780" s="15"/>
      <c r="V780" s="15"/>
      <c r="W780" s="15"/>
    </row>
    <row r="781">
      <c r="J781" s="15"/>
      <c r="V781" s="15"/>
      <c r="W781" s="15"/>
    </row>
    <row r="782">
      <c r="J782" s="15"/>
      <c r="V782" s="15"/>
      <c r="W782" s="15"/>
    </row>
    <row r="783">
      <c r="J783" s="15"/>
      <c r="V783" s="15"/>
      <c r="W783" s="15"/>
    </row>
    <row r="784">
      <c r="J784" s="15"/>
      <c r="V784" s="15"/>
      <c r="W784" s="15"/>
    </row>
    <row r="785">
      <c r="J785" s="15"/>
      <c r="V785" s="15"/>
      <c r="W785" s="15"/>
    </row>
    <row r="786">
      <c r="J786" s="15"/>
      <c r="V786" s="15"/>
      <c r="W786" s="15"/>
    </row>
    <row r="787">
      <c r="J787" s="15"/>
      <c r="V787" s="15"/>
      <c r="W787" s="15"/>
    </row>
    <row r="788">
      <c r="J788" s="15"/>
      <c r="V788" s="15"/>
      <c r="W788" s="15"/>
    </row>
    <row r="789">
      <c r="J789" s="15"/>
      <c r="V789" s="15"/>
      <c r="W789" s="15"/>
    </row>
    <row r="790">
      <c r="J790" s="15"/>
      <c r="V790" s="15"/>
      <c r="W790" s="15"/>
    </row>
    <row r="791">
      <c r="J791" s="15"/>
      <c r="V791" s="15"/>
      <c r="W791" s="15"/>
    </row>
    <row r="792">
      <c r="J792" s="15"/>
      <c r="V792" s="15"/>
      <c r="W792" s="15"/>
    </row>
    <row r="793">
      <c r="J793" s="15"/>
      <c r="V793" s="15"/>
      <c r="W793" s="15"/>
    </row>
    <row r="794">
      <c r="J794" s="15"/>
      <c r="V794" s="15"/>
      <c r="W794" s="15"/>
    </row>
    <row r="795">
      <c r="J795" s="15"/>
      <c r="V795" s="15"/>
      <c r="W795" s="15"/>
    </row>
    <row r="796">
      <c r="J796" s="15"/>
      <c r="V796" s="15"/>
      <c r="W796" s="15"/>
    </row>
    <row r="797">
      <c r="J797" s="15"/>
      <c r="V797" s="15"/>
      <c r="W797" s="15"/>
    </row>
    <row r="798">
      <c r="J798" s="15"/>
      <c r="V798" s="15"/>
      <c r="W798" s="15"/>
    </row>
    <row r="799">
      <c r="J799" s="15"/>
      <c r="V799" s="15"/>
      <c r="W799" s="15"/>
    </row>
    <row r="800">
      <c r="J800" s="15"/>
      <c r="V800" s="15"/>
      <c r="W800" s="15"/>
    </row>
    <row r="801">
      <c r="J801" s="15"/>
      <c r="V801" s="15"/>
      <c r="W801" s="15"/>
    </row>
    <row r="802">
      <c r="J802" s="15"/>
      <c r="V802" s="15"/>
      <c r="W802" s="15"/>
    </row>
    <row r="803">
      <c r="J803" s="15"/>
      <c r="V803" s="15"/>
      <c r="W803" s="15"/>
    </row>
    <row r="804">
      <c r="J804" s="15"/>
      <c r="V804" s="15"/>
      <c r="W804" s="15"/>
    </row>
    <row r="805">
      <c r="J805" s="15"/>
      <c r="V805" s="15"/>
      <c r="W805" s="15"/>
    </row>
    <row r="806">
      <c r="J806" s="15"/>
      <c r="V806" s="15"/>
      <c r="W806" s="15"/>
    </row>
    <row r="807">
      <c r="J807" s="15"/>
      <c r="V807" s="15"/>
      <c r="W807" s="15"/>
    </row>
    <row r="808">
      <c r="J808" s="15"/>
      <c r="V808" s="15"/>
      <c r="W808" s="15"/>
    </row>
    <row r="809">
      <c r="J809" s="15"/>
      <c r="V809" s="15"/>
      <c r="W809" s="15"/>
    </row>
    <row r="810">
      <c r="J810" s="15"/>
      <c r="V810" s="15"/>
      <c r="W810" s="15"/>
    </row>
    <row r="811">
      <c r="J811" s="15"/>
      <c r="V811" s="15"/>
      <c r="W811" s="15"/>
    </row>
    <row r="812">
      <c r="J812" s="15"/>
      <c r="V812" s="15"/>
      <c r="W812" s="15"/>
    </row>
    <row r="813">
      <c r="J813" s="15"/>
      <c r="V813" s="15"/>
      <c r="W813" s="15"/>
    </row>
    <row r="814">
      <c r="J814" s="15"/>
      <c r="V814" s="15"/>
      <c r="W814" s="15"/>
    </row>
    <row r="815">
      <c r="J815" s="15"/>
      <c r="V815" s="15"/>
      <c r="W815" s="15"/>
    </row>
    <row r="816">
      <c r="J816" s="15"/>
      <c r="V816" s="15"/>
      <c r="W816" s="15"/>
    </row>
    <row r="817">
      <c r="J817" s="15"/>
      <c r="V817" s="15"/>
      <c r="W817" s="15"/>
    </row>
    <row r="818">
      <c r="J818" s="15"/>
      <c r="V818" s="15"/>
      <c r="W818" s="15"/>
    </row>
    <row r="819">
      <c r="J819" s="15"/>
      <c r="V819" s="15"/>
      <c r="W819" s="15"/>
    </row>
    <row r="820">
      <c r="J820" s="15"/>
      <c r="V820" s="15"/>
      <c r="W820" s="15"/>
    </row>
    <row r="821">
      <c r="J821" s="15"/>
      <c r="V821" s="15"/>
      <c r="W821" s="15"/>
    </row>
    <row r="822">
      <c r="J822" s="15"/>
      <c r="V822" s="15"/>
      <c r="W822" s="15"/>
    </row>
    <row r="823">
      <c r="J823" s="15"/>
      <c r="V823" s="15"/>
      <c r="W823" s="15"/>
    </row>
    <row r="824">
      <c r="J824" s="15"/>
      <c r="V824" s="15"/>
      <c r="W824" s="15"/>
    </row>
    <row r="825">
      <c r="J825" s="15"/>
      <c r="V825" s="15"/>
      <c r="W825" s="15"/>
    </row>
    <row r="826">
      <c r="J826" s="15"/>
      <c r="V826" s="15"/>
      <c r="W826" s="15"/>
    </row>
    <row r="827">
      <c r="J827" s="15"/>
      <c r="V827" s="15"/>
      <c r="W827" s="15"/>
    </row>
    <row r="828">
      <c r="J828" s="15"/>
      <c r="V828" s="15"/>
      <c r="W828" s="15"/>
    </row>
    <row r="829">
      <c r="J829" s="15"/>
      <c r="V829" s="15"/>
      <c r="W829" s="15"/>
    </row>
    <row r="830">
      <c r="J830" s="15"/>
      <c r="V830" s="15"/>
      <c r="W830" s="15"/>
    </row>
    <row r="831">
      <c r="J831" s="15"/>
      <c r="V831" s="15"/>
      <c r="W831" s="15"/>
    </row>
    <row r="832">
      <c r="J832" s="15"/>
      <c r="V832" s="15"/>
      <c r="W832" s="15"/>
    </row>
    <row r="833">
      <c r="J833" s="15"/>
      <c r="V833" s="15"/>
      <c r="W833" s="15"/>
    </row>
    <row r="834">
      <c r="J834" s="15"/>
      <c r="V834" s="15"/>
      <c r="W834" s="15"/>
    </row>
    <row r="835">
      <c r="J835" s="15"/>
      <c r="V835" s="15"/>
      <c r="W835" s="15"/>
    </row>
    <row r="836">
      <c r="J836" s="15"/>
      <c r="V836" s="15"/>
      <c r="W836" s="15"/>
    </row>
    <row r="837">
      <c r="J837" s="15"/>
      <c r="V837" s="15"/>
      <c r="W837" s="15"/>
    </row>
    <row r="838">
      <c r="J838" s="15"/>
      <c r="V838" s="15"/>
      <c r="W838" s="15"/>
    </row>
    <row r="839">
      <c r="J839" s="15"/>
      <c r="V839" s="15"/>
      <c r="W839" s="15"/>
    </row>
    <row r="840">
      <c r="J840" s="15"/>
      <c r="V840" s="15"/>
      <c r="W840" s="15"/>
    </row>
    <row r="841">
      <c r="J841" s="15"/>
      <c r="V841" s="15"/>
      <c r="W841" s="15"/>
    </row>
    <row r="842">
      <c r="J842" s="15"/>
      <c r="V842" s="15"/>
      <c r="W842" s="15"/>
    </row>
    <row r="843">
      <c r="J843" s="15"/>
      <c r="V843" s="15"/>
      <c r="W843" s="15"/>
    </row>
    <row r="844">
      <c r="J844" s="15"/>
      <c r="V844" s="15"/>
      <c r="W844" s="15"/>
    </row>
    <row r="845">
      <c r="J845" s="15"/>
      <c r="V845" s="15"/>
      <c r="W845" s="15"/>
    </row>
    <row r="846">
      <c r="J846" s="15"/>
      <c r="V846" s="15"/>
      <c r="W846" s="15"/>
    </row>
    <row r="847">
      <c r="J847" s="15"/>
      <c r="V847" s="15"/>
      <c r="W847" s="15"/>
    </row>
    <row r="848">
      <c r="J848" s="15"/>
      <c r="V848" s="15"/>
      <c r="W848" s="15"/>
    </row>
    <row r="849">
      <c r="J849" s="15"/>
      <c r="V849" s="15"/>
      <c r="W849" s="15"/>
    </row>
    <row r="850">
      <c r="J850" s="15"/>
      <c r="V850" s="15"/>
      <c r="W850" s="15"/>
    </row>
    <row r="851">
      <c r="J851" s="15"/>
      <c r="V851" s="15"/>
      <c r="W851" s="15"/>
    </row>
    <row r="852">
      <c r="J852" s="15"/>
      <c r="V852" s="15"/>
      <c r="W852" s="15"/>
    </row>
    <row r="853">
      <c r="J853" s="15"/>
      <c r="V853" s="15"/>
      <c r="W853" s="15"/>
    </row>
    <row r="854">
      <c r="J854" s="15"/>
      <c r="V854" s="15"/>
      <c r="W854" s="15"/>
    </row>
    <row r="855">
      <c r="J855" s="15"/>
      <c r="V855" s="15"/>
      <c r="W855" s="15"/>
    </row>
    <row r="856">
      <c r="J856" s="15"/>
      <c r="V856" s="15"/>
      <c r="W856" s="15"/>
    </row>
    <row r="857">
      <c r="J857" s="15"/>
      <c r="V857" s="15"/>
      <c r="W857" s="15"/>
    </row>
    <row r="858">
      <c r="J858" s="15"/>
      <c r="V858" s="15"/>
      <c r="W858" s="15"/>
    </row>
    <row r="859">
      <c r="J859" s="15"/>
      <c r="V859" s="15"/>
      <c r="W859" s="15"/>
    </row>
    <row r="860">
      <c r="J860" s="15"/>
      <c r="V860" s="15"/>
      <c r="W860" s="15"/>
    </row>
    <row r="861">
      <c r="J861" s="15"/>
      <c r="V861" s="15"/>
      <c r="W861" s="15"/>
    </row>
    <row r="862">
      <c r="J862" s="15"/>
      <c r="V862" s="15"/>
      <c r="W862" s="15"/>
    </row>
    <row r="863">
      <c r="J863" s="15"/>
      <c r="V863" s="15"/>
      <c r="W863" s="15"/>
    </row>
    <row r="864">
      <c r="J864" s="15"/>
      <c r="V864" s="15"/>
      <c r="W864" s="15"/>
    </row>
    <row r="865">
      <c r="J865" s="15"/>
      <c r="V865" s="15"/>
      <c r="W865" s="15"/>
    </row>
    <row r="866">
      <c r="J866" s="15"/>
      <c r="V866" s="15"/>
      <c r="W866" s="15"/>
    </row>
    <row r="867">
      <c r="J867" s="15"/>
      <c r="V867" s="15"/>
      <c r="W867" s="15"/>
    </row>
    <row r="868">
      <c r="J868" s="15"/>
      <c r="V868" s="15"/>
      <c r="W868" s="15"/>
    </row>
    <row r="869">
      <c r="J869" s="15"/>
      <c r="V869" s="15"/>
      <c r="W869" s="15"/>
    </row>
    <row r="870">
      <c r="J870" s="15"/>
      <c r="V870" s="15"/>
      <c r="W870" s="15"/>
    </row>
    <row r="871">
      <c r="J871" s="15"/>
      <c r="V871" s="15"/>
      <c r="W871" s="15"/>
    </row>
    <row r="872">
      <c r="J872" s="15"/>
      <c r="V872" s="15"/>
      <c r="W872" s="15"/>
    </row>
    <row r="873">
      <c r="J873" s="15"/>
      <c r="V873" s="15"/>
      <c r="W873" s="15"/>
    </row>
    <row r="874">
      <c r="J874" s="15"/>
      <c r="V874" s="15"/>
      <c r="W874" s="15"/>
    </row>
    <row r="875">
      <c r="J875" s="15"/>
      <c r="V875" s="15"/>
      <c r="W875" s="15"/>
    </row>
    <row r="876">
      <c r="J876" s="15"/>
      <c r="V876" s="15"/>
      <c r="W876" s="15"/>
    </row>
    <row r="877">
      <c r="J877" s="15"/>
      <c r="V877" s="15"/>
      <c r="W877" s="15"/>
    </row>
    <row r="878">
      <c r="J878" s="15"/>
      <c r="V878" s="15"/>
      <c r="W878" s="15"/>
    </row>
    <row r="879">
      <c r="J879" s="15"/>
      <c r="V879" s="15"/>
      <c r="W879" s="15"/>
    </row>
    <row r="880">
      <c r="J880" s="15"/>
      <c r="V880" s="15"/>
      <c r="W880" s="15"/>
    </row>
    <row r="881">
      <c r="J881" s="15"/>
      <c r="V881" s="15"/>
      <c r="W881" s="15"/>
    </row>
    <row r="882">
      <c r="J882" s="15"/>
      <c r="V882" s="15"/>
      <c r="W882" s="15"/>
    </row>
    <row r="883">
      <c r="J883" s="15"/>
      <c r="V883" s="15"/>
      <c r="W883" s="15"/>
    </row>
    <row r="884">
      <c r="J884" s="15"/>
      <c r="V884" s="15"/>
      <c r="W884" s="15"/>
    </row>
    <row r="885">
      <c r="J885" s="15"/>
      <c r="V885" s="15"/>
      <c r="W885" s="15"/>
    </row>
    <row r="886">
      <c r="J886" s="15"/>
      <c r="V886" s="15"/>
      <c r="W886" s="15"/>
    </row>
    <row r="887">
      <c r="J887" s="15"/>
      <c r="V887" s="15"/>
      <c r="W887" s="15"/>
    </row>
    <row r="888">
      <c r="J888" s="15"/>
      <c r="V888" s="15"/>
      <c r="W888" s="15"/>
    </row>
    <row r="889">
      <c r="J889" s="15"/>
      <c r="V889" s="15"/>
      <c r="W889" s="15"/>
    </row>
    <row r="890">
      <c r="J890" s="15"/>
      <c r="V890" s="15"/>
      <c r="W890" s="15"/>
    </row>
    <row r="891">
      <c r="J891" s="15"/>
      <c r="V891" s="15"/>
      <c r="W891" s="15"/>
    </row>
    <row r="892">
      <c r="J892" s="15"/>
      <c r="V892" s="15"/>
      <c r="W892" s="15"/>
    </row>
    <row r="893">
      <c r="J893" s="15"/>
      <c r="V893" s="15"/>
      <c r="W893" s="15"/>
    </row>
    <row r="894">
      <c r="J894" s="15"/>
      <c r="V894" s="15"/>
      <c r="W894" s="15"/>
    </row>
    <row r="895">
      <c r="J895" s="15"/>
      <c r="V895" s="15"/>
      <c r="W895" s="15"/>
    </row>
    <row r="896">
      <c r="J896" s="15"/>
      <c r="V896" s="15"/>
      <c r="W896" s="15"/>
    </row>
    <row r="897">
      <c r="J897" s="15"/>
      <c r="V897" s="15"/>
      <c r="W897" s="15"/>
    </row>
    <row r="898">
      <c r="J898" s="15"/>
      <c r="V898" s="15"/>
      <c r="W898" s="15"/>
    </row>
    <row r="899">
      <c r="J899" s="15"/>
      <c r="V899" s="15"/>
      <c r="W899" s="15"/>
    </row>
    <row r="900">
      <c r="J900" s="15"/>
      <c r="V900" s="15"/>
      <c r="W900" s="15"/>
    </row>
    <row r="901">
      <c r="J901" s="15"/>
      <c r="V901" s="15"/>
      <c r="W901" s="15"/>
    </row>
    <row r="902">
      <c r="J902" s="15"/>
      <c r="V902" s="15"/>
      <c r="W902" s="15"/>
    </row>
    <row r="903">
      <c r="J903" s="15"/>
      <c r="V903" s="15"/>
      <c r="W903" s="15"/>
    </row>
    <row r="904">
      <c r="J904" s="15"/>
      <c r="V904" s="15"/>
      <c r="W904" s="15"/>
    </row>
    <row r="905">
      <c r="J905" s="15"/>
      <c r="V905" s="15"/>
      <c r="W905" s="15"/>
    </row>
    <row r="906">
      <c r="J906" s="15"/>
      <c r="V906" s="15"/>
      <c r="W906" s="15"/>
    </row>
    <row r="907">
      <c r="J907" s="15"/>
      <c r="V907" s="15"/>
      <c r="W907" s="15"/>
    </row>
    <row r="908">
      <c r="J908" s="15"/>
      <c r="V908" s="15"/>
      <c r="W908" s="15"/>
    </row>
    <row r="909">
      <c r="J909" s="15"/>
      <c r="V909" s="15"/>
      <c r="W909" s="15"/>
    </row>
    <row r="910">
      <c r="J910" s="15"/>
      <c r="V910" s="15"/>
      <c r="W910" s="15"/>
    </row>
    <row r="911">
      <c r="J911" s="15"/>
      <c r="V911" s="15"/>
      <c r="W911" s="15"/>
    </row>
    <row r="912">
      <c r="J912" s="15"/>
      <c r="V912" s="15"/>
      <c r="W912" s="15"/>
    </row>
    <row r="913">
      <c r="J913" s="15"/>
      <c r="V913" s="15"/>
      <c r="W913" s="15"/>
    </row>
    <row r="914">
      <c r="J914" s="15"/>
      <c r="V914" s="15"/>
      <c r="W914" s="15"/>
    </row>
    <row r="915">
      <c r="J915" s="15"/>
      <c r="V915" s="15"/>
      <c r="W915" s="15"/>
    </row>
    <row r="916">
      <c r="J916" s="15"/>
      <c r="V916" s="15"/>
      <c r="W916" s="15"/>
    </row>
    <row r="917">
      <c r="J917" s="15"/>
      <c r="V917" s="15"/>
      <c r="W917" s="15"/>
    </row>
    <row r="918">
      <c r="J918" s="15"/>
      <c r="V918" s="15"/>
      <c r="W918" s="15"/>
    </row>
    <row r="919">
      <c r="J919" s="15"/>
      <c r="V919" s="15"/>
      <c r="W919" s="15"/>
    </row>
    <row r="920">
      <c r="J920" s="15"/>
      <c r="V920" s="15"/>
      <c r="W920" s="15"/>
    </row>
    <row r="921">
      <c r="J921" s="15"/>
      <c r="V921" s="15"/>
      <c r="W921" s="15"/>
    </row>
    <row r="922">
      <c r="J922" s="15"/>
      <c r="V922" s="15"/>
      <c r="W922" s="15"/>
    </row>
    <row r="923">
      <c r="J923" s="15"/>
      <c r="V923" s="15"/>
      <c r="W923" s="15"/>
    </row>
    <row r="924">
      <c r="J924" s="15"/>
      <c r="V924" s="15"/>
      <c r="W924" s="15"/>
    </row>
    <row r="925">
      <c r="J925" s="15"/>
      <c r="V925" s="15"/>
      <c r="W925" s="15"/>
    </row>
    <row r="926">
      <c r="J926" s="15"/>
      <c r="V926" s="15"/>
      <c r="W926" s="15"/>
    </row>
    <row r="927">
      <c r="J927" s="15"/>
      <c r="V927" s="15"/>
      <c r="W927" s="15"/>
    </row>
    <row r="928">
      <c r="J928" s="15"/>
      <c r="V928" s="15"/>
      <c r="W928" s="15"/>
    </row>
    <row r="929">
      <c r="J929" s="15"/>
      <c r="V929" s="15"/>
      <c r="W929" s="15"/>
    </row>
    <row r="930">
      <c r="J930" s="15"/>
      <c r="V930" s="15"/>
      <c r="W930" s="15"/>
    </row>
    <row r="931">
      <c r="J931" s="15"/>
      <c r="V931" s="15"/>
      <c r="W931" s="15"/>
    </row>
    <row r="932">
      <c r="J932" s="15"/>
      <c r="V932" s="15"/>
      <c r="W932" s="15"/>
    </row>
    <row r="933">
      <c r="J933" s="15"/>
      <c r="V933" s="15"/>
      <c r="W933" s="15"/>
    </row>
    <row r="934">
      <c r="J934" s="15"/>
      <c r="V934" s="15"/>
      <c r="W934" s="15"/>
    </row>
    <row r="935">
      <c r="J935" s="15"/>
      <c r="V935" s="15"/>
      <c r="W935" s="15"/>
    </row>
    <row r="936">
      <c r="J936" s="15"/>
      <c r="V936" s="15"/>
      <c r="W936" s="15"/>
    </row>
    <row r="937">
      <c r="J937" s="15"/>
      <c r="V937" s="15"/>
      <c r="W937" s="15"/>
    </row>
    <row r="938">
      <c r="J938" s="15"/>
      <c r="V938" s="15"/>
      <c r="W938" s="15"/>
    </row>
    <row r="939">
      <c r="J939" s="15"/>
      <c r="V939" s="15"/>
      <c r="W939" s="15"/>
    </row>
    <row r="940">
      <c r="J940" s="15"/>
      <c r="V940" s="15"/>
      <c r="W940" s="15"/>
    </row>
    <row r="941">
      <c r="J941" s="15"/>
      <c r="V941" s="15"/>
      <c r="W941" s="15"/>
    </row>
    <row r="942">
      <c r="J942" s="15"/>
      <c r="V942" s="15"/>
      <c r="W942" s="15"/>
    </row>
    <row r="943">
      <c r="J943" s="15"/>
      <c r="V943" s="15"/>
      <c r="W943" s="15"/>
    </row>
    <row r="944">
      <c r="J944" s="15"/>
      <c r="V944" s="15"/>
      <c r="W944" s="15"/>
    </row>
    <row r="945">
      <c r="J945" s="15"/>
      <c r="V945" s="15"/>
      <c r="W945" s="15"/>
    </row>
    <row r="946">
      <c r="J946" s="15"/>
      <c r="V946" s="15"/>
      <c r="W946" s="15"/>
    </row>
    <row r="947">
      <c r="J947" s="15"/>
      <c r="V947" s="15"/>
      <c r="W947" s="15"/>
    </row>
    <row r="948">
      <c r="J948" s="15"/>
      <c r="V948" s="15"/>
      <c r="W948" s="15"/>
    </row>
    <row r="949">
      <c r="J949" s="15"/>
      <c r="V949" s="15"/>
      <c r="W949" s="15"/>
    </row>
    <row r="950">
      <c r="J950" s="15"/>
      <c r="V950" s="15"/>
      <c r="W950" s="15"/>
    </row>
    <row r="951">
      <c r="J951" s="15"/>
      <c r="V951" s="15"/>
      <c r="W951" s="15"/>
    </row>
    <row r="952">
      <c r="J952" s="15"/>
      <c r="V952" s="15"/>
      <c r="W952" s="15"/>
    </row>
    <row r="953">
      <c r="J953" s="15"/>
      <c r="V953" s="15"/>
      <c r="W953" s="15"/>
    </row>
    <row r="954">
      <c r="J954" s="15"/>
      <c r="V954" s="15"/>
      <c r="W954" s="15"/>
    </row>
    <row r="955">
      <c r="J955" s="15"/>
      <c r="V955" s="15"/>
      <c r="W955" s="15"/>
    </row>
    <row r="956">
      <c r="J956" s="15"/>
      <c r="V956" s="15"/>
      <c r="W956" s="15"/>
    </row>
    <row r="957">
      <c r="J957" s="15"/>
      <c r="V957" s="15"/>
      <c r="W957" s="15"/>
    </row>
    <row r="958">
      <c r="J958" s="15"/>
      <c r="V958" s="15"/>
      <c r="W958" s="15"/>
    </row>
    <row r="959">
      <c r="J959" s="15"/>
      <c r="V959" s="15"/>
      <c r="W959" s="15"/>
    </row>
    <row r="960">
      <c r="J960" s="15"/>
      <c r="V960" s="15"/>
      <c r="W960" s="15"/>
    </row>
    <row r="961">
      <c r="J961" s="15"/>
      <c r="V961" s="15"/>
      <c r="W961" s="15"/>
    </row>
    <row r="962">
      <c r="J962" s="15"/>
      <c r="V962" s="15"/>
      <c r="W962" s="15"/>
    </row>
    <row r="963">
      <c r="J963" s="15"/>
      <c r="V963" s="15"/>
      <c r="W963" s="15"/>
    </row>
    <row r="964">
      <c r="J964" s="15"/>
      <c r="V964" s="15"/>
      <c r="W964" s="15"/>
    </row>
    <row r="965">
      <c r="J965" s="15"/>
      <c r="V965" s="15"/>
      <c r="W965" s="15"/>
    </row>
    <row r="966">
      <c r="J966" s="15"/>
      <c r="V966" s="15"/>
      <c r="W966" s="15"/>
    </row>
    <row r="967">
      <c r="J967" s="15"/>
      <c r="V967" s="15"/>
      <c r="W967" s="15"/>
    </row>
    <row r="968">
      <c r="J968" s="15"/>
      <c r="V968" s="15"/>
      <c r="W968" s="15"/>
    </row>
    <row r="969">
      <c r="J969" s="15"/>
      <c r="V969" s="15"/>
      <c r="W969" s="15"/>
    </row>
    <row r="970">
      <c r="J970" s="15"/>
      <c r="V970" s="15"/>
      <c r="W970" s="15"/>
    </row>
    <row r="971">
      <c r="J971" s="15"/>
      <c r="V971" s="15"/>
      <c r="W971" s="15"/>
    </row>
    <row r="972">
      <c r="J972" s="15"/>
      <c r="V972" s="15"/>
      <c r="W972" s="15"/>
    </row>
    <row r="973">
      <c r="J973" s="15"/>
      <c r="V973" s="15"/>
      <c r="W973" s="15"/>
    </row>
    <row r="974">
      <c r="J974" s="15"/>
      <c r="V974" s="15"/>
      <c r="W974" s="15"/>
    </row>
    <row r="975">
      <c r="J975" s="15"/>
      <c r="V975" s="15"/>
      <c r="W975" s="15"/>
    </row>
    <row r="976">
      <c r="J976" s="15"/>
      <c r="V976" s="15"/>
      <c r="W976" s="15"/>
    </row>
    <row r="977">
      <c r="J977" s="15"/>
      <c r="V977" s="15"/>
      <c r="W977" s="15"/>
    </row>
    <row r="978">
      <c r="J978" s="15"/>
      <c r="V978" s="15"/>
      <c r="W978" s="15"/>
    </row>
    <row r="979">
      <c r="J979" s="15"/>
      <c r="V979" s="15"/>
      <c r="W979" s="15"/>
    </row>
    <row r="980">
      <c r="J980" s="15"/>
      <c r="V980" s="15"/>
      <c r="W980" s="15"/>
    </row>
    <row r="981">
      <c r="J981" s="15"/>
      <c r="V981" s="15"/>
      <c r="W981" s="15"/>
    </row>
    <row r="982">
      <c r="J982" s="15"/>
      <c r="V982" s="15"/>
      <c r="W982" s="15"/>
    </row>
    <row r="983">
      <c r="J983" s="15"/>
      <c r="V983" s="15"/>
      <c r="W983" s="15"/>
    </row>
    <row r="984">
      <c r="J984" s="15"/>
      <c r="V984" s="15"/>
      <c r="W984" s="15"/>
    </row>
    <row r="985">
      <c r="J985" s="15"/>
      <c r="V985" s="15"/>
      <c r="W985" s="15"/>
    </row>
    <row r="986">
      <c r="J986" s="15"/>
      <c r="V986" s="15"/>
      <c r="W986" s="15"/>
    </row>
    <row r="987">
      <c r="J987" s="15"/>
      <c r="V987" s="15"/>
      <c r="W987" s="15"/>
    </row>
    <row r="988">
      <c r="J988" s="15"/>
      <c r="V988" s="15"/>
      <c r="W988" s="15"/>
    </row>
    <row r="989">
      <c r="J989" s="15"/>
      <c r="V989" s="15"/>
      <c r="W989" s="15"/>
    </row>
    <row r="990">
      <c r="J990" s="15"/>
      <c r="V990" s="15"/>
      <c r="W990" s="15"/>
    </row>
    <row r="991">
      <c r="J991" s="15"/>
      <c r="V991" s="15"/>
      <c r="W991" s="15"/>
    </row>
    <row r="992">
      <c r="J992" s="15"/>
      <c r="V992" s="15"/>
      <c r="W992" s="15"/>
    </row>
    <row r="993">
      <c r="J993" s="15"/>
      <c r="V993" s="15"/>
      <c r="W993" s="15"/>
    </row>
    <row r="994">
      <c r="J994" s="15"/>
      <c r="V994" s="15"/>
      <c r="W994" s="15"/>
    </row>
    <row r="995">
      <c r="J995" s="15"/>
      <c r="V995" s="15"/>
      <c r="W995" s="15"/>
    </row>
    <row r="996">
      <c r="J996" s="15"/>
      <c r="V996" s="15"/>
      <c r="W996" s="15"/>
    </row>
    <row r="997">
      <c r="J997" s="15"/>
      <c r="V997" s="15"/>
      <c r="W997" s="15"/>
    </row>
    <row r="998">
      <c r="J998" s="15"/>
      <c r="V998" s="15"/>
      <c r="W998" s="15"/>
    </row>
    <row r="999">
      <c r="J999" s="15"/>
      <c r="V999" s="15"/>
      <c r="W999" s="15"/>
    </row>
  </sheetData>
  <autoFilter ref="$B$6:$J$37"/>
  <mergeCells count="4">
    <mergeCell ref="B2:C2"/>
    <mergeCell ref="L6:O6"/>
    <mergeCell ref="Q6:R6"/>
    <mergeCell ref="T6:X6"/>
  </mergeCells>
  <conditionalFormatting sqref="G7:G37">
    <cfRule type="colorScale" priority="1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C6:C34">
    <cfRule type="colorScale" priority="2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U8:U13">
    <cfRule type="cellIs" dxfId="0" priority="3" operator="lessThanOrEqual">
      <formula>MEDIAN($C$7:$C$34)</formula>
    </cfRule>
  </conditionalFormatting>
  <conditionalFormatting sqref="U8:U13">
    <cfRule type="cellIs" dxfId="1" priority="4" operator="greaterThan">
      <formula>MEDIAN($C$7:$C$34)</formula>
    </cfRule>
  </conditionalFormatting>
  <conditionalFormatting sqref="R9">
    <cfRule type="cellIs" dxfId="0" priority="5" operator="lessThanOrEqual">
      <formula>COUNT($B:$B) - (#REF! + #REF!)</formula>
    </cfRule>
  </conditionalFormatting>
  <conditionalFormatting sqref="R9">
    <cfRule type="cellIs" dxfId="1" priority="6" operator="greaterThan">
      <formula>COUNT($B:$B) - (#REF! + #REF!)</formula>
    </cfRule>
  </conditionalFormatting>
  <conditionalFormatting sqref="J7:J37">
    <cfRule type="cellIs" dxfId="0" priority="7" operator="equal">
      <formula>"Sim"</formula>
    </cfRule>
  </conditionalFormatting>
  <conditionalFormatting sqref="J7:J37">
    <cfRule type="cellIs" dxfId="1" priority="8" operator="equal">
      <formula>"Não"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13"/>
    <col customWidth="1" min="2" max="2" width="12.63"/>
    <col customWidth="1" min="3" max="3" width="10.88"/>
    <col customWidth="1" min="4" max="4" width="11.5"/>
    <col customWidth="1" min="5" max="6" width="8.38"/>
    <col customWidth="1" min="7" max="7" width="11.13"/>
    <col customWidth="1" min="8" max="9" width="10.0"/>
    <col customWidth="1" min="10" max="10" width="9.5"/>
    <col customWidth="1" min="11" max="11" width="1.5"/>
    <col customWidth="1" min="12" max="12" width="11.88"/>
    <col customWidth="1" min="13" max="13" width="10.25"/>
    <col customWidth="1" min="14" max="14" width="5.13"/>
    <col customWidth="1" min="15" max="15" width="10.13"/>
    <col customWidth="1" min="16" max="16" width="1.5"/>
    <col customWidth="1" min="17" max="17" width="14.38"/>
    <col customWidth="1" min="18" max="18" width="10.88"/>
    <col customWidth="1" min="19" max="19" width="1.38"/>
    <col customWidth="1" min="20" max="20" width="9.25"/>
    <col customWidth="1" min="21" max="21" width="9.13"/>
    <col customWidth="1" min="22" max="22" width="4.63"/>
    <col customWidth="1" min="23" max="23" width="8.38"/>
    <col customWidth="1" min="24" max="24" width="7.75"/>
    <col customWidth="1" min="25" max="25" width="2.63"/>
  </cols>
  <sheetData>
    <row r="1">
      <c r="J1" s="15"/>
      <c r="V1" s="15"/>
      <c r="W1" s="15"/>
    </row>
    <row r="2" ht="22.5" customHeight="1">
      <c r="B2" s="68" t="s">
        <v>40</v>
      </c>
      <c r="C2" s="27"/>
      <c r="J2" s="15"/>
      <c r="V2" s="15"/>
      <c r="W2" s="15"/>
    </row>
    <row r="3">
      <c r="B3" s="69" t="s">
        <v>41</v>
      </c>
      <c r="C3" s="70"/>
      <c r="J3" s="15"/>
      <c r="V3" s="15"/>
      <c r="W3" s="15"/>
    </row>
    <row r="4">
      <c r="B4" s="69" t="s">
        <v>42</v>
      </c>
      <c r="C4" s="71"/>
      <c r="J4" s="15"/>
      <c r="V4" s="15"/>
      <c r="W4" s="15"/>
    </row>
    <row r="5">
      <c r="C5" s="1"/>
      <c r="J5" s="15"/>
      <c r="V5" s="15"/>
      <c r="W5" s="15"/>
    </row>
    <row r="6" ht="35.25" customHeight="1">
      <c r="A6" s="72"/>
      <c r="B6" s="73" t="s">
        <v>25</v>
      </c>
      <c r="C6" s="73" t="s">
        <v>43</v>
      </c>
      <c r="D6" s="73" t="s">
        <v>44</v>
      </c>
      <c r="E6" s="73" t="s">
        <v>45</v>
      </c>
      <c r="F6" s="73" t="s">
        <v>46</v>
      </c>
      <c r="G6" s="73" t="s">
        <v>47</v>
      </c>
      <c r="H6" s="73" t="s">
        <v>48</v>
      </c>
      <c r="I6" s="73" t="s">
        <v>49</v>
      </c>
      <c r="J6" s="73" t="s">
        <v>50</v>
      </c>
      <c r="L6" s="74" t="s">
        <v>51</v>
      </c>
      <c r="M6" s="26"/>
      <c r="N6" s="26"/>
      <c r="O6" s="27"/>
      <c r="Q6" s="74" t="s">
        <v>52</v>
      </c>
      <c r="R6" s="27"/>
      <c r="S6" s="72"/>
      <c r="T6" s="72"/>
    </row>
    <row r="7">
      <c r="A7" s="39"/>
      <c r="B7" s="39">
        <v>46174.0</v>
      </c>
      <c r="C7" s="75"/>
      <c r="D7" s="75"/>
      <c r="E7" s="75"/>
      <c r="F7" s="75"/>
      <c r="G7" s="56" t="str">
        <f t="shared" ref="G7:G36" si="1">IF(SUM(D7:F7) = 0, , (SUM(D7:F7)))</f>
        <v/>
      </c>
      <c r="H7" s="76" t="str">
        <f t="shared" ref="H7:H34" si="2">IFERROR(G7/C7, )</f>
        <v/>
      </c>
      <c r="I7" s="77">
        <f t="shared" ref="I7:I36" si="3">IFERROR(H7/25 * ($C$3/10), )</f>
        <v>0</v>
      </c>
      <c r="J7" s="41" t="str">
        <f t="shared" ref="J7:J36" si="4">IF(B7 &gt; TODAY(), "", IF(G7 = "", "Não", "Sim"))
</f>
        <v/>
      </c>
      <c r="L7" s="78"/>
      <c r="M7" s="79" t="s">
        <v>53</v>
      </c>
      <c r="N7" s="80" t="s">
        <v>54</v>
      </c>
      <c r="O7" s="81" t="s">
        <v>55</v>
      </c>
      <c r="Q7" s="82"/>
      <c r="R7" s="69" t="s">
        <v>56</v>
      </c>
      <c r="T7" s="2"/>
      <c r="U7" s="2"/>
      <c r="V7" s="2"/>
      <c r="W7" s="2"/>
      <c r="X7" s="83"/>
      <c r="Y7" s="2"/>
    </row>
    <row r="8">
      <c r="A8" s="39"/>
      <c r="B8" s="39">
        <v>46175.0</v>
      </c>
      <c r="C8" s="75"/>
      <c r="D8" s="75"/>
      <c r="E8" s="75"/>
      <c r="F8" s="75"/>
      <c r="G8" s="56" t="str">
        <f t="shared" si="1"/>
        <v/>
      </c>
      <c r="H8" s="76" t="str">
        <f t="shared" si="2"/>
        <v/>
      </c>
      <c r="I8" s="77">
        <f t="shared" si="3"/>
        <v>0</v>
      </c>
      <c r="J8" s="41" t="str">
        <f t="shared" si="4"/>
        <v/>
      </c>
      <c r="L8" s="84" t="s">
        <v>0</v>
      </c>
      <c r="M8" s="85" t="str">
        <f> IFERROR(MEDIAN(C7:C998), )</f>
        <v/>
      </c>
      <c r="N8" s="86"/>
      <c r="O8" s="87"/>
      <c r="P8" s="88"/>
      <c r="Q8" s="89" t="s">
        <v>57</v>
      </c>
      <c r="R8" s="17">
        <f>Count(B:B)</f>
        <v>30</v>
      </c>
      <c r="T8" s="90"/>
      <c r="U8" s="91"/>
      <c r="V8" s="2"/>
      <c r="W8" s="91"/>
      <c r="X8" s="92"/>
      <c r="Y8" s="56"/>
    </row>
    <row r="9">
      <c r="A9" s="39"/>
      <c r="B9" s="39">
        <v>46176.0</v>
      </c>
      <c r="C9" s="75"/>
      <c r="D9" s="75"/>
      <c r="E9" s="75"/>
      <c r="F9" s="75"/>
      <c r="G9" s="56" t="str">
        <f t="shared" si="1"/>
        <v/>
      </c>
      <c r="H9" s="76" t="str">
        <f t="shared" si="2"/>
        <v/>
      </c>
      <c r="I9" s="77">
        <f t="shared" si="3"/>
        <v>0</v>
      </c>
      <c r="J9" s="41" t="str">
        <f t="shared" si="4"/>
        <v/>
      </c>
      <c r="L9" s="89" t="s">
        <v>2</v>
      </c>
      <c r="M9" s="56" t="str">
        <f t="shared" ref="M9:N9" si="5"> IFERROR(MEDIAN(G7:G998), )</f>
        <v/>
      </c>
      <c r="N9" s="56" t="str">
        <f t="shared" si="5"/>
        <v/>
      </c>
      <c r="O9" s="93">
        <f> IFERROR($N$9 * ($C$3/10)  / 25, )</f>
        <v>0</v>
      </c>
      <c r="P9" s="88"/>
      <c r="Q9" s="89" t="s">
        <v>58</v>
      </c>
      <c r="R9" s="17">
        <f>COUNTIF(J:J, "=Sim")</f>
        <v>0</v>
      </c>
      <c r="T9" s="90"/>
      <c r="U9" s="91"/>
      <c r="V9" s="2"/>
      <c r="W9" s="91"/>
      <c r="X9" s="92"/>
      <c r="Y9" s="56"/>
    </row>
    <row r="10">
      <c r="A10" s="39"/>
      <c r="B10" s="39">
        <v>46177.0</v>
      </c>
      <c r="C10" s="75"/>
      <c r="D10" s="75"/>
      <c r="E10" s="75"/>
      <c r="F10" s="75"/>
      <c r="G10" s="56" t="str">
        <f t="shared" si="1"/>
        <v/>
      </c>
      <c r="H10" s="76" t="str">
        <f t="shared" si="2"/>
        <v/>
      </c>
      <c r="I10" s="77">
        <f t="shared" si="3"/>
        <v>0</v>
      </c>
      <c r="J10" s="41" t="str">
        <f t="shared" si="4"/>
        <v/>
      </c>
      <c r="L10" s="89" t="s">
        <v>59</v>
      </c>
      <c r="M10" s="94">
        <f>IFERROR(SUM(G7:G998), )</f>
        <v>0</v>
      </c>
      <c r="N10" s="95" t="str">
        <f> IFERROR($M$10 / $M$8, )</f>
        <v/>
      </c>
      <c r="O10" s="93">
        <f> IFERROR($N$10 * ($C$3/10)  / 25, )</f>
        <v>0</v>
      </c>
      <c r="P10" s="88"/>
      <c r="Q10" s="89" t="s">
        <v>60</v>
      </c>
      <c r="R10" s="96" t="str">
        <f>IFERROR(M12/M9, )</f>
        <v/>
      </c>
      <c r="T10" s="90"/>
      <c r="U10" s="91"/>
      <c r="V10" s="2"/>
      <c r="W10" s="91"/>
      <c r="X10" s="92"/>
      <c r="Y10" s="56"/>
    </row>
    <row r="11">
      <c r="A11" s="39"/>
      <c r="B11" s="39">
        <v>46178.0</v>
      </c>
      <c r="C11" s="75"/>
      <c r="D11" s="75"/>
      <c r="E11" s="75"/>
      <c r="F11" s="75"/>
      <c r="G11" s="56" t="str">
        <f t="shared" si="1"/>
        <v/>
      </c>
      <c r="H11" s="76" t="str">
        <f t="shared" si="2"/>
        <v/>
      </c>
      <c r="I11" s="77">
        <f t="shared" si="3"/>
        <v>0</v>
      </c>
      <c r="J11" s="41" t="str">
        <f t="shared" si="4"/>
        <v/>
      </c>
      <c r="L11" s="89" t="s">
        <v>61</v>
      </c>
      <c r="M11" s="75">
        <f> IFERROR($N$11 * $M$8, )</f>
        <v>0</v>
      </c>
      <c r="N11" s="98" t="str">
        <f> IFERROR($C$4, )</f>
        <v/>
      </c>
      <c r="O11" s="93">
        <f> IFERROR($N$11 * ($C$3/10)  / 25,"")</f>
        <v>0</v>
      </c>
      <c r="Q11" s="89" t="s">
        <v>62</v>
      </c>
      <c r="R11" s="17">
        <f>COUNTIF($J:$J, "=Não")</f>
        <v>0</v>
      </c>
      <c r="T11" s="90"/>
      <c r="U11" s="91"/>
      <c r="V11" s="2"/>
      <c r="W11" s="91"/>
      <c r="X11" s="92"/>
      <c r="Y11" s="56"/>
    </row>
    <row r="12">
      <c r="A12" s="39"/>
      <c r="B12" s="39">
        <v>46179.0</v>
      </c>
      <c r="C12" s="75"/>
      <c r="D12" s="75"/>
      <c r="E12" s="56"/>
      <c r="F12" s="75"/>
      <c r="G12" s="56" t="str">
        <f t="shared" si="1"/>
        <v/>
      </c>
      <c r="H12" s="76" t="str">
        <f t="shared" si="2"/>
        <v/>
      </c>
      <c r="I12" s="77">
        <f t="shared" si="3"/>
        <v>0</v>
      </c>
      <c r="J12" s="41" t="str">
        <f t="shared" si="4"/>
        <v/>
      </c>
      <c r="L12" s="89" t="s">
        <v>63</v>
      </c>
      <c r="M12" s="56">
        <f> IFERROR($M$11 - $M$10, )</f>
        <v>0</v>
      </c>
      <c r="N12" s="56">
        <f>N11 - N10</f>
        <v>0</v>
      </c>
      <c r="O12" s="93">
        <f> IFERROR($N$12 * ($C$3/10)  / 25, )</f>
        <v>0</v>
      </c>
      <c r="Q12" s="89" t="s">
        <v>64</v>
      </c>
      <c r="R12" s="96">
        <f>R8 - R9 - R10</f>
        <v>30</v>
      </c>
      <c r="T12" s="90"/>
      <c r="U12" s="91"/>
      <c r="V12" s="2"/>
      <c r="W12" s="91"/>
      <c r="X12" s="92"/>
      <c r="Y12" s="56"/>
    </row>
    <row r="13">
      <c r="A13" s="39"/>
      <c r="B13" s="39">
        <v>46180.0</v>
      </c>
      <c r="C13" s="75"/>
      <c r="D13" s="75"/>
      <c r="E13" s="75"/>
      <c r="F13" s="75"/>
      <c r="G13" s="56" t="str">
        <f t="shared" si="1"/>
        <v/>
      </c>
      <c r="H13" s="76" t="str">
        <f t="shared" si="2"/>
        <v/>
      </c>
      <c r="I13" s="77">
        <f t="shared" si="3"/>
        <v>0</v>
      </c>
      <c r="J13" s="41" t="str">
        <f t="shared" si="4"/>
        <v/>
      </c>
      <c r="L13" s="99"/>
      <c r="M13" s="100"/>
      <c r="N13" s="100"/>
      <c r="O13" s="101"/>
      <c r="Q13" s="99" t="s">
        <v>7</v>
      </c>
      <c r="R13" s="23" t="str">
        <f>IF(M10 &gt;= M11, "🔵 Concluído", IF((R8-R9)-R10-R11&gt;=2, "🟢 Seguro", IF((R8-R9)-R10-R11&gt;=0, "🟡 Atenção", "🔴 Risco")))</f>
        <v>🔵 Concluído</v>
      </c>
      <c r="T13" s="90"/>
      <c r="U13" s="91"/>
      <c r="V13" s="2"/>
      <c r="W13" s="91"/>
      <c r="X13" s="92"/>
      <c r="Y13" s="56"/>
    </row>
    <row r="14">
      <c r="A14" s="39"/>
      <c r="B14" s="39">
        <v>46181.0</v>
      </c>
      <c r="C14" s="75"/>
      <c r="D14" s="75"/>
      <c r="E14" s="75"/>
      <c r="F14" s="75"/>
      <c r="G14" s="56" t="str">
        <f t="shared" si="1"/>
        <v/>
      </c>
      <c r="H14" s="76" t="str">
        <f t="shared" si="2"/>
        <v/>
      </c>
      <c r="I14" s="77">
        <f t="shared" si="3"/>
        <v>0</v>
      </c>
      <c r="J14" s="41" t="str">
        <f t="shared" si="4"/>
        <v/>
      </c>
      <c r="L14" s="1"/>
      <c r="M14" s="1"/>
      <c r="N14" s="1"/>
      <c r="O14" s="1"/>
      <c r="Q14" s="1"/>
      <c r="R14" s="15"/>
      <c r="V14" s="15"/>
      <c r="W14" s="15"/>
      <c r="Y14" s="56"/>
    </row>
    <row r="15">
      <c r="A15" s="39"/>
      <c r="B15" s="39">
        <v>46182.0</v>
      </c>
      <c r="C15" s="75"/>
      <c r="D15" s="75"/>
      <c r="E15" s="75"/>
      <c r="F15" s="75"/>
      <c r="G15" s="56" t="str">
        <f t="shared" si="1"/>
        <v/>
      </c>
      <c r="H15" s="76" t="str">
        <f t="shared" si="2"/>
        <v/>
      </c>
      <c r="I15" s="77">
        <f t="shared" si="3"/>
        <v>0</v>
      </c>
      <c r="J15" s="41" t="str">
        <f t="shared" si="4"/>
        <v/>
      </c>
      <c r="L15" s="1"/>
      <c r="V15" s="15"/>
      <c r="W15" s="15"/>
    </row>
    <row r="16">
      <c r="A16" s="39"/>
      <c r="B16" s="39">
        <v>46183.0</v>
      </c>
      <c r="C16" s="75"/>
      <c r="D16" s="75"/>
      <c r="E16" s="75"/>
      <c r="F16" s="75"/>
      <c r="G16" s="56" t="str">
        <f t="shared" si="1"/>
        <v/>
      </c>
      <c r="H16" s="76" t="str">
        <f t="shared" si="2"/>
        <v/>
      </c>
      <c r="I16" s="77">
        <f t="shared" si="3"/>
        <v>0</v>
      </c>
      <c r="J16" s="41" t="str">
        <f t="shared" si="4"/>
        <v/>
      </c>
      <c r="N16" s="102"/>
      <c r="V16" s="15"/>
      <c r="W16" s="15"/>
    </row>
    <row r="17">
      <c r="A17" s="39"/>
      <c r="B17" s="39">
        <v>46184.0</v>
      </c>
      <c r="C17" s="75"/>
      <c r="D17" s="75"/>
      <c r="E17" s="75"/>
      <c r="F17" s="75"/>
      <c r="G17" s="56" t="str">
        <f t="shared" si="1"/>
        <v/>
      </c>
      <c r="H17" s="76" t="str">
        <f t="shared" si="2"/>
        <v/>
      </c>
      <c r="I17" s="77">
        <f t="shared" si="3"/>
        <v>0</v>
      </c>
      <c r="J17" s="41" t="str">
        <f t="shared" si="4"/>
        <v/>
      </c>
      <c r="V17" s="15"/>
      <c r="W17" s="15"/>
    </row>
    <row r="18">
      <c r="A18" s="39"/>
      <c r="B18" s="39">
        <v>46185.0</v>
      </c>
      <c r="C18" s="56"/>
      <c r="D18" s="56"/>
      <c r="E18" s="56"/>
      <c r="F18" s="56"/>
      <c r="G18" s="56" t="str">
        <f t="shared" si="1"/>
        <v/>
      </c>
      <c r="H18" s="76" t="str">
        <f t="shared" si="2"/>
        <v/>
      </c>
      <c r="I18" s="77">
        <f t="shared" si="3"/>
        <v>0</v>
      </c>
      <c r="J18" s="41" t="str">
        <f t="shared" si="4"/>
        <v/>
      </c>
      <c r="V18" s="15"/>
      <c r="W18" s="15"/>
    </row>
    <row r="19">
      <c r="A19" s="39"/>
      <c r="B19" s="39">
        <v>46186.0</v>
      </c>
      <c r="C19" s="56"/>
      <c r="D19" s="56"/>
      <c r="E19" s="56"/>
      <c r="F19" s="56"/>
      <c r="G19" s="56" t="str">
        <f t="shared" si="1"/>
        <v/>
      </c>
      <c r="H19" s="76" t="str">
        <f t="shared" si="2"/>
        <v/>
      </c>
      <c r="I19" s="77">
        <f t="shared" si="3"/>
        <v>0</v>
      </c>
      <c r="J19" s="41" t="str">
        <f t="shared" si="4"/>
        <v/>
      </c>
      <c r="V19" s="15"/>
      <c r="W19" s="15"/>
    </row>
    <row r="20">
      <c r="A20" s="39"/>
      <c r="B20" s="39">
        <v>46187.0</v>
      </c>
      <c r="C20" s="56"/>
      <c r="D20" s="56"/>
      <c r="E20" s="56"/>
      <c r="F20" s="56"/>
      <c r="G20" s="56" t="str">
        <f t="shared" si="1"/>
        <v/>
      </c>
      <c r="H20" s="76" t="str">
        <f t="shared" si="2"/>
        <v/>
      </c>
      <c r="I20" s="77">
        <f t="shared" si="3"/>
        <v>0</v>
      </c>
      <c r="J20" s="41" t="str">
        <f t="shared" si="4"/>
        <v/>
      </c>
      <c r="V20" s="15"/>
      <c r="W20" s="15"/>
    </row>
    <row r="21">
      <c r="A21" s="39"/>
      <c r="B21" s="39">
        <v>46188.0</v>
      </c>
      <c r="C21" s="56"/>
      <c r="D21" s="56"/>
      <c r="E21" s="56"/>
      <c r="F21" s="56"/>
      <c r="G21" s="56" t="str">
        <f t="shared" si="1"/>
        <v/>
      </c>
      <c r="H21" s="76" t="str">
        <f t="shared" si="2"/>
        <v/>
      </c>
      <c r="I21" s="77">
        <f t="shared" si="3"/>
        <v>0</v>
      </c>
      <c r="J21" s="41" t="str">
        <f t="shared" si="4"/>
        <v/>
      </c>
      <c r="V21" s="15"/>
      <c r="W21" s="15"/>
    </row>
    <row r="22">
      <c r="A22" s="39"/>
      <c r="B22" s="39">
        <v>46189.0</v>
      </c>
      <c r="C22" s="56"/>
      <c r="D22" s="56"/>
      <c r="E22" s="56"/>
      <c r="F22" s="56"/>
      <c r="G22" s="56" t="str">
        <f t="shared" si="1"/>
        <v/>
      </c>
      <c r="H22" s="76" t="str">
        <f t="shared" si="2"/>
        <v/>
      </c>
      <c r="I22" s="77">
        <f t="shared" si="3"/>
        <v>0</v>
      </c>
      <c r="J22" s="41" t="str">
        <f t="shared" si="4"/>
        <v/>
      </c>
      <c r="V22" s="15"/>
      <c r="W22" s="15"/>
    </row>
    <row r="23">
      <c r="A23" s="39"/>
      <c r="B23" s="39">
        <v>46190.0</v>
      </c>
      <c r="C23" s="56"/>
      <c r="D23" s="56"/>
      <c r="E23" s="56"/>
      <c r="F23" s="56"/>
      <c r="G23" s="56" t="str">
        <f t="shared" si="1"/>
        <v/>
      </c>
      <c r="H23" s="76" t="str">
        <f t="shared" si="2"/>
        <v/>
      </c>
      <c r="I23" s="77">
        <f t="shared" si="3"/>
        <v>0</v>
      </c>
      <c r="J23" s="41" t="str">
        <f t="shared" si="4"/>
        <v/>
      </c>
      <c r="V23" s="15"/>
      <c r="W23" s="15"/>
    </row>
    <row r="24">
      <c r="A24" s="39"/>
      <c r="B24" s="39">
        <v>46191.0</v>
      </c>
      <c r="C24" s="56"/>
      <c r="D24" s="56"/>
      <c r="E24" s="56"/>
      <c r="F24" s="56"/>
      <c r="G24" s="56" t="str">
        <f t="shared" si="1"/>
        <v/>
      </c>
      <c r="H24" s="76" t="str">
        <f t="shared" si="2"/>
        <v/>
      </c>
      <c r="I24" s="77">
        <f t="shared" si="3"/>
        <v>0</v>
      </c>
      <c r="J24" s="41" t="str">
        <f t="shared" si="4"/>
        <v/>
      </c>
      <c r="N24" s="1"/>
      <c r="V24" s="15"/>
      <c r="W24" s="15"/>
    </row>
    <row r="25">
      <c r="A25" s="39"/>
      <c r="B25" s="39">
        <v>46192.0</v>
      </c>
      <c r="C25" s="75"/>
      <c r="D25" s="56"/>
      <c r="E25" s="75"/>
      <c r="F25" s="75"/>
      <c r="G25" s="56" t="str">
        <f t="shared" si="1"/>
        <v/>
      </c>
      <c r="H25" s="76" t="str">
        <f t="shared" si="2"/>
        <v/>
      </c>
      <c r="I25" s="77">
        <f t="shared" si="3"/>
        <v>0</v>
      </c>
      <c r="J25" s="41" t="str">
        <f t="shared" si="4"/>
        <v/>
      </c>
      <c r="V25" s="15"/>
      <c r="W25" s="15"/>
    </row>
    <row r="26">
      <c r="A26" s="39"/>
      <c r="B26" s="39">
        <v>46193.0</v>
      </c>
      <c r="C26" s="75"/>
      <c r="D26" s="56"/>
      <c r="E26" s="56"/>
      <c r="F26" s="75"/>
      <c r="G26" s="56" t="str">
        <f t="shared" si="1"/>
        <v/>
      </c>
      <c r="H26" s="76" t="str">
        <f t="shared" si="2"/>
        <v/>
      </c>
      <c r="I26" s="77">
        <f t="shared" si="3"/>
        <v>0</v>
      </c>
      <c r="J26" s="41" t="str">
        <f t="shared" si="4"/>
        <v/>
      </c>
      <c r="V26" s="15"/>
      <c r="W26" s="15"/>
    </row>
    <row r="27">
      <c r="A27" s="39"/>
      <c r="B27" s="39">
        <v>46194.0</v>
      </c>
      <c r="C27" s="75"/>
      <c r="D27" s="75"/>
      <c r="E27" s="75"/>
      <c r="F27" s="75"/>
      <c r="G27" s="56" t="str">
        <f t="shared" si="1"/>
        <v/>
      </c>
      <c r="H27" s="76" t="str">
        <f t="shared" si="2"/>
        <v/>
      </c>
      <c r="I27" s="77">
        <f t="shared" si="3"/>
        <v>0</v>
      </c>
      <c r="J27" s="41" t="str">
        <f t="shared" si="4"/>
        <v/>
      </c>
      <c r="V27" s="15"/>
      <c r="W27" s="15"/>
    </row>
    <row r="28">
      <c r="A28" s="39"/>
      <c r="B28" s="39">
        <v>46195.0</v>
      </c>
      <c r="C28" s="75"/>
      <c r="D28" s="56"/>
      <c r="E28" s="56"/>
      <c r="F28" s="75"/>
      <c r="G28" s="56" t="str">
        <f t="shared" si="1"/>
        <v/>
      </c>
      <c r="H28" s="104" t="str">
        <f t="shared" si="2"/>
        <v/>
      </c>
      <c r="I28" s="77">
        <f t="shared" si="3"/>
        <v>0</v>
      </c>
      <c r="J28" s="41" t="str">
        <f t="shared" si="4"/>
        <v/>
      </c>
      <c r="N28" s="1"/>
      <c r="V28" s="15"/>
      <c r="W28" s="15"/>
    </row>
    <row r="29">
      <c r="A29" s="39"/>
      <c r="B29" s="39">
        <v>46196.0</v>
      </c>
      <c r="C29" s="75"/>
      <c r="D29" s="56"/>
      <c r="E29" s="56"/>
      <c r="F29" s="75"/>
      <c r="G29" s="56" t="str">
        <f t="shared" si="1"/>
        <v/>
      </c>
      <c r="H29" s="104" t="str">
        <f t="shared" si="2"/>
        <v/>
      </c>
      <c r="I29" s="77">
        <f t="shared" si="3"/>
        <v>0</v>
      </c>
      <c r="J29" s="41" t="str">
        <f t="shared" si="4"/>
        <v/>
      </c>
      <c r="V29" s="15"/>
      <c r="W29" s="15"/>
    </row>
    <row r="30">
      <c r="A30" s="39"/>
      <c r="B30" s="39">
        <v>46197.0</v>
      </c>
      <c r="C30" s="56"/>
      <c r="D30" s="56"/>
      <c r="E30" s="56"/>
      <c r="F30" s="56"/>
      <c r="G30" s="56" t="str">
        <f t="shared" si="1"/>
        <v/>
      </c>
      <c r="H30" s="104" t="str">
        <f t="shared" si="2"/>
        <v/>
      </c>
      <c r="I30" s="77">
        <f t="shared" si="3"/>
        <v>0</v>
      </c>
      <c r="J30" s="41" t="str">
        <f t="shared" si="4"/>
        <v/>
      </c>
      <c r="V30" s="15"/>
      <c r="W30" s="15"/>
    </row>
    <row r="31">
      <c r="A31" s="39"/>
      <c r="B31" s="39">
        <v>46198.0</v>
      </c>
      <c r="C31" s="56"/>
      <c r="D31" s="56"/>
      <c r="E31" s="56"/>
      <c r="F31" s="56"/>
      <c r="G31" s="56" t="str">
        <f t="shared" si="1"/>
        <v/>
      </c>
      <c r="H31" s="104" t="str">
        <f t="shared" si="2"/>
        <v/>
      </c>
      <c r="I31" s="77">
        <f t="shared" si="3"/>
        <v>0</v>
      </c>
      <c r="J31" s="41" t="str">
        <f t="shared" si="4"/>
        <v/>
      </c>
      <c r="V31" s="15"/>
      <c r="W31" s="15"/>
    </row>
    <row r="32">
      <c r="A32" s="39"/>
      <c r="B32" s="39">
        <v>46199.0</v>
      </c>
      <c r="C32" s="56"/>
      <c r="D32" s="56"/>
      <c r="E32" s="56"/>
      <c r="F32" s="56"/>
      <c r="G32" s="56" t="str">
        <f t="shared" si="1"/>
        <v/>
      </c>
      <c r="H32" s="104" t="str">
        <f t="shared" si="2"/>
        <v/>
      </c>
      <c r="I32" s="77">
        <f t="shared" si="3"/>
        <v>0</v>
      </c>
      <c r="J32" s="41" t="str">
        <f t="shared" si="4"/>
        <v/>
      </c>
      <c r="V32" s="15"/>
      <c r="W32" s="15"/>
    </row>
    <row r="33">
      <c r="A33" s="39"/>
      <c r="B33" s="39">
        <v>46200.0</v>
      </c>
      <c r="C33" s="56"/>
      <c r="D33" s="56"/>
      <c r="E33" s="56"/>
      <c r="F33" s="56"/>
      <c r="G33" s="56" t="str">
        <f t="shared" si="1"/>
        <v/>
      </c>
      <c r="H33" s="104" t="str">
        <f t="shared" si="2"/>
        <v/>
      </c>
      <c r="I33" s="77">
        <f t="shared" si="3"/>
        <v>0</v>
      </c>
      <c r="J33" s="41" t="str">
        <f t="shared" si="4"/>
        <v/>
      </c>
      <c r="V33" s="15"/>
      <c r="W33" s="15"/>
    </row>
    <row r="34">
      <c r="A34" s="39"/>
      <c r="B34" s="39">
        <v>46201.0</v>
      </c>
      <c r="C34" s="56"/>
      <c r="D34" s="56"/>
      <c r="E34" s="56"/>
      <c r="F34" s="56"/>
      <c r="G34" s="56" t="str">
        <f t="shared" si="1"/>
        <v/>
      </c>
      <c r="H34" s="104" t="str">
        <f t="shared" si="2"/>
        <v/>
      </c>
      <c r="I34" s="77">
        <f t="shared" si="3"/>
        <v>0</v>
      </c>
      <c r="J34" s="41" t="str">
        <f t="shared" si="4"/>
        <v/>
      </c>
      <c r="V34" s="15"/>
      <c r="W34" s="15"/>
    </row>
    <row r="35">
      <c r="B35" s="39">
        <v>46202.0</v>
      </c>
      <c r="G35" s="56" t="str">
        <f t="shared" si="1"/>
        <v/>
      </c>
      <c r="I35" s="77">
        <f t="shared" si="3"/>
        <v>0</v>
      </c>
      <c r="J35" s="41" t="str">
        <f t="shared" si="4"/>
        <v/>
      </c>
      <c r="V35" s="15"/>
      <c r="W35" s="15"/>
    </row>
    <row r="36">
      <c r="B36" s="39">
        <v>46203.0</v>
      </c>
      <c r="G36" s="56" t="str">
        <f t="shared" si="1"/>
        <v/>
      </c>
      <c r="H36" s="104" t="str">
        <f>IFERROR(G35/C35, )</f>
        <v/>
      </c>
      <c r="I36" s="77">
        <f t="shared" si="3"/>
        <v>0</v>
      </c>
      <c r="J36" s="41" t="str">
        <f t="shared" si="4"/>
        <v/>
      </c>
      <c r="V36" s="15"/>
      <c r="W36" s="15"/>
    </row>
    <row r="37">
      <c r="B37" s="39"/>
      <c r="J37" s="15"/>
      <c r="V37" s="15"/>
      <c r="W37" s="15"/>
    </row>
    <row r="38">
      <c r="J38" s="15"/>
      <c r="V38" s="15"/>
      <c r="W38" s="15"/>
    </row>
    <row r="39">
      <c r="J39" s="15"/>
      <c r="V39" s="15"/>
      <c r="W39" s="15"/>
    </row>
    <row r="40">
      <c r="J40" s="15"/>
      <c r="V40" s="15"/>
      <c r="W40" s="15"/>
    </row>
    <row r="41">
      <c r="J41" s="15"/>
      <c r="V41" s="15"/>
      <c r="W41" s="15"/>
    </row>
    <row r="42">
      <c r="J42" s="15"/>
      <c r="V42" s="15"/>
      <c r="W42" s="15"/>
    </row>
    <row r="43">
      <c r="J43" s="15"/>
      <c r="V43" s="15"/>
      <c r="W43" s="15"/>
    </row>
    <row r="44">
      <c r="J44" s="15"/>
      <c r="V44" s="15"/>
      <c r="W44" s="15"/>
    </row>
    <row r="45">
      <c r="J45" s="15"/>
      <c r="V45" s="15"/>
      <c r="W45" s="15"/>
    </row>
    <row r="46">
      <c r="J46" s="15"/>
      <c r="V46" s="15"/>
      <c r="W46" s="15"/>
    </row>
    <row r="47">
      <c r="J47" s="15"/>
      <c r="V47" s="15"/>
      <c r="W47" s="15"/>
    </row>
    <row r="48">
      <c r="J48" s="15"/>
      <c r="V48" s="15"/>
      <c r="W48" s="15"/>
    </row>
    <row r="49">
      <c r="J49" s="15"/>
      <c r="V49" s="15"/>
      <c r="W49" s="15"/>
    </row>
    <row r="50">
      <c r="J50" s="15"/>
      <c r="V50" s="15"/>
      <c r="W50" s="15"/>
    </row>
    <row r="51">
      <c r="J51" s="15"/>
      <c r="V51" s="15"/>
      <c r="W51" s="15"/>
    </row>
    <row r="52">
      <c r="J52" s="15"/>
      <c r="V52" s="15"/>
      <c r="W52" s="15"/>
    </row>
    <row r="53">
      <c r="J53" s="15"/>
      <c r="V53" s="15"/>
      <c r="W53" s="15"/>
    </row>
    <row r="54">
      <c r="J54" s="15"/>
      <c r="V54" s="15"/>
      <c r="W54" s="15"/>
    </row>
    <row r="55">
      <c r="J55" s="15"/>
      <c r="V55" s="15"/>
      <c r="W55" s="15"/>
    </row>
    <row r="56">
      <c r="J56" s="15"/>
      <c r="V56" s="15"/>
      <c r="W56" s="15"/>
    </row>
    <row r="57">
      <c r="J57" s="15"/>
      <c r="V57" s="15"/>
      <c r="W57" s="15"/>
    </row>
    <row r="58">
      <c r="J58" s="15"/>
      <c r="V58" s="15"/>
      <c r="W58" s="15"/>
    </row>
    <row r="59">
      <c r="J59" s="15"/>
      <c r="V59" s="15"/>
      <c r="W59" s="15"/>
    </row>
    <row r="60">
      <c r="J60" s="15"/>
      <c r="V60" s="15"/>
      <c r="W60" s="15"/>
    </row>
    <row r="61">
      <c r="J61" s="15"/>
      <c r="V61" s="15"/>
      <c r="W61" s="15"/>
    </row>
    <row r="62">
      <c r="J62" s="15"/>
      <c r="V62" s="15"/>
      <c r="W62" s="15"/>
    </row>
    <row r="63">
      <c r="J63" s="15"/>
      <c r="V63" s="15"/>
      <c r="W63" s="15"/>
    </row>
    <row r="64">
      <c r="J64" s="15"/>
      <c r="V64" s="15"/>
      <c r="W64" s="15"/>
    </row>
    <row r="65">
      <c r="J65" s="15"/>
      <c r="V65" s="15"/>
      <c r="W65" s="15"/>
    </row>
    <row r="66">
      <c r="J66" s="15"/>
      <c r="V66" s="15"/>
      <c r="W66" s="15"/>
    </row>
    <row r="67">
      <c r="J67" s="15"/>
      <c r="V67" s="15"/>
      <c r="W67" s="15"/>
    </row>
    <row r="68">
      <c r="J68" s="15"/>
      <c r="V68" s="15"/>
      <c r="W68" s="15"/>
    </row>
    <row r="69">
      <c r="J69" s="15"/>
      <c r="V69" s="15"/>
      <c r="W69" s="15"/>
    </row>
    <row r="70">
      <c r="J70" s="15"/>
      <c r="V70" s="15"/>
      <c r="W70" s="15"/>
    </row>
    <row r="71">
      <c r="J71" s="15"/>
      <c r="V71" s="15"/>
      <c r="W71" s="15"/>
    </row>
    <row r="72">
      <c r="J72" s="15"/>
      <c r="V72" s="15"/>
      <c r="W72" s="15"/>
    </row>
    <row r="73">
      <c r="J73" s="15"/>
      <c r="V73" s="15"/>
      <c r="W73" s="15"/>
    </row>
    <row r="74">
      <c r="J74" s="15"/>
      <c r="V74" s="15"/>
      <c r="W74" s="15"/>
    </row>
    <row r="75">
      <c r="J75" s="15"/>
      <c r="V75" s="15"/>
      <c r="W75" s="15"/>
    </row>
    <row r="76">
      <c r="J76" s="15"/>
      <c r="V76" s="15"/>
      <c r="W76" s="15"/>
    </row>
    <row r="77">
      <c r="J77" s="15"/>
      <c r="V77" s="15"/>
      <c r="W77" s="15"/>
    </row>
    <row r="78">
      <c r="J78" s="15"/>
      <c r="V78" s="15"/>
      <c r="W78" s="15"/>
    </row>
    <row r="79">
      <c r="J79" s="15"/>
      <c r="V79" s="15"/>
      <c r="W79" s="15"/>
    </row>
    <row r="80">
      <c r="J80" s="15"/>
      <c r="V80" s="15"/>
      <c r="W80" s="15"/>
    </row>
    <row r="81">
      <c r="J81" s="15"/>
      <c r="V81" s="15"/>
      <c r="W81" s="15"/>
    </row>
    <row r="82">
      <c r="J82" s="15"/>
      <c r="V82" s="15"/>
      <c r="W82" s="15"/>
    </row>
    <row r="83">
      <c r="J83" s="15"/>
      <c r="V83" s="15"/>
      <c r="W83" s="15"/>
    </row>
    <row r="84">
      <c r="J84" s="15"/>
      <c r="V84" s="15"/>
      <c r="W84" s="15"/>
    </row>
    <row r="85">
      <c r="J85" s="15"/>
      <c r="V85" s="15"/>
      <c r="W85" s="15"/>
    </row>
    <row r="86">
      <c r="J86" s="15"/>
      <c r="V86" s="15"/>
      <c r="W86" s="15"/>
    </row>
    <row r="87">
      <c r="J87" s="15"/>
      <c r="V87" s="15"/>
      <c r="W87" s="15"/>
    </row>
    <row r="88">
      <c r="J88" s="15"/>
      <c r="V88" s="15"/>
      <c r="W88" s="15"/>
    </row>
    <row r="89">
      <c r="J89" s="15"/>
      <c r="V89" s="15"/>
      <c r="W89" s="15"/>
    </row>
    <row r="90">
      <c r="J90" s="15"/>
      <c r="V90" s="15"/>
      <c r="W90" s="15"/>
    </row>
    <row r="91">
      <c r="J91" s="15"/>
      <c r="V91" s="15"/>
      <c r="W91" s="15"/>
    </row>
    <row r="92">
      <c r="J92" s="15"/>
      <c r="V92" s="15"/>
      <c r="W92" s="15"/>
    </row>
    <row r="93">
      <c r="J93" s="15"/>
      <c r="V93" s="15"/>
      <c r="W93" s="15"/>
    </row>
    <row r="94">
      <c r="J94" s="15"/>
      <c r="V94" s="15"/>
      <c r="W94" s="15"/>
    </row>
    <row r="95">
      <c r="J95" s="15"/>
      <c r="V95" s="15"/>
      <c r="W95" s="15"/>
    </row>
    <row r="96">
      <c r="J96" s="15"/>
      <c r="V96" s="15"/>
      <c r="W96" s="15"/>
    </row>
    <row r="97">
      <c r="J97" s="15"/>
      <c r="V97" s="15"/>
      <c r="W97" s="15"/>
    </row>
    <row r="98">
      <c r="J98" s="15"/>
      <c r="V98" s="15"/>
      <c r="W98" s="15"/>
    </row>
    <row r="99">
      <c r="J99" s="15"/>
      <c r="V99" s="15"/>
      <c r="W99" s="15"/>
    </row>
    <row r="100">
      <c r="J100" s="15"/>
      <c r="V100" s="15"/>
      <c r="W100" s="15"/>
    </row>
    <row r="101">
      <c r="J101" s="15"/>
      <c r="V101" s="15"/>
      <c r="W101" s="15"/>
    </row>
    <row r="102">
      <c r="J102" s="15"/>
      <c r="V102" s="15"/>
      <c r="W102" s="15"/>
    </row>
    <row r="103">
      <c r="J103" s="15"/>
      <c r="V103" s="15"/>
      <c r="W103" s="15"/>
    </row>
    <row r="104">
      <c r="J104" s="15"/>
      <c r="V104" s="15"/>
      <c r="W104" s="15"/>
    </row>
    <row r="105">
      <c r="J105" s="15"/>
      <c r="V105" s="15"/>
      <c r="W105" s="15"/>
    </row>
    <row r="106">
      <c r="J106" s="15"/>
      <c r="V106" s="15"/>
      <c r="W106" s="15"/>
    </row>
    <row r="107">
      <c r="J107" s="15"/>
      <c r="V107" s="15"/>
      <c r="W107" s="15"/>
    </row>
    <row r="108">
      <c r="J108" s="15"/>
      <c r="V108" s="15"/>
      <c r="W108" s="15"/>
    </row>
    <row r="109">
      <c r="J109" s="15"/>
      <c r="V109" s="15"/>
      <c r="W109" s="15"/>
    </row>
    <row r="110">
      <c r="J110" s="15"/>
      <c r="V110" s="15"/>
      <c r="W110" s="15"/>
    </row>
    <row r="111">
      <c r="J111" s="15"/>
      <c r="V111" s="15"/>
      <c r="W111" s="15"/>
    </row>
    <row r="112">
      <c r="J112" s="15"/>
      <c r="V112" s="15"/>
      <c r="W112" s="15"/>
    </row>
    <row r="113">
      <c r="J113" s="15"/>
      <c r="V113" s="15"/>
      <c r="W113" s="15"/>
    </row>
    <row r="114">
      <c r="J114" s="15"/>
      <c r="V114" s="15"/>
      <c r="W114" s="15"/>
    </row>
    <row r="115">
      <c r="J115" s="15"/>
      <c r="V115" s="15"/>
      <c r="W115" s="15"/>
    </row>
    <row r="116">
      <c r="J116" s="15"/>
      <c r="V116" s="15"/>
      <c r="W116" s="15"/>
    </row>
    <row r="117">
      <c r="J117" s="15"/>
      <c r="V117" s="15"/>
      <c r="W117" s="15"/>
    </row>
    <row r="118">
      <c r="J118" s="15"/>
      <c r="V118" s="15"/>
      <c r="W118" s="15"/>
    </row>
    <row r="119">
      <c r="J119" s="15"/>
      <c r="V119" s="15"/>
      <c r="W119" s="15"/>
    </row>
    <row r="120">
      <c r="J120" s="15"/>
      <c r="V120" s="15"/>
      <c r="W120" s="15"/>
    </row>
    <row r="121">
      <c r="J121" s="15"/>
      <c r="V121" s="15"/>
      <c r="W121" s="15"/>
    </row>
    <row r="122">
      <c r="J122" s="15"/>
      <c r="V122" s="15"/>
      <c r="W122" s="15"/>
    </row>
    <row r="123">
      <c r="J123" s="15"/>
      <c r="V123" s="15"/>
      <c r="W123" s="15"/>
    </row>
    <row r="124">
      <c r="J124" s="15"/>
      <c r="V124" s="15"/>
      <c r="W124" s="15"/>
    </row>
    <row r="125">
      <c r="J125" s="15"/>
      <c r="V125" s="15"/>
      <c r="W125" s="15"/>
    </row>
    <row r="126">
      <c r="J126" s="15"/>
      <c r="V126" s="15"/>
      <c r="W126" s="15"/>
    </row>
    <row r="127">
      <c r="J127" s="15"/>
      <c r="V127" s="15"/>
      <c r="W127" s="15"/>
    </row>
    <row r="128">
      <c r="J128" s="15"/>
      <c r="V128" s="15"/>
      <c r="W128" s="15"/>
    </row>
    <row r="129">
      <c r="J129" s="15"/>
      <c r="V129" s="15"/>
      <c r="W129" s="15"/>
    </row>
    <row r="130">
      <c r="J130" s="15"/>
      <c r="V130" s="15"/>
      <c r="W130" s="15"/>
    </row>
    <row r="131">
      <c r="J131" s="15"/>
      <c r="V131" s="15"/>
      <c r="W131" s="15"/>
    </row>
    <row r="132">
      <c r="J132" s="15"/>
      <c r="V132" s="15"/>
      <c r="W132" s="15"/>
    </row>
    <row r="133">
      <c r="J133" s="15"/>
      <c r="V133" s="15"/>
      <c r="W133" s="15"/>
    </row>
    <row r="134">
      <c r="J134" s="15"/>
      <c r="V134" s="15"/>
      <c r="W134" s="15"/>
    </row>
    <row r="135">
      <c r="J135" s="15"/>
      <c r="V135" s="15"/>
      <c r="W135" s="15"/>
    </row>
    <row r="136">
      <c r="J136" s="15"/>
      <c r="V136" s="15"/>
      <c r="W136" s="15"/>
    </row>
    <row r="137">
      <c r="J137" s="15"/>
      <c r="V137" s="15"/>
      <c r="W137" s="15"/>
    </row>
    <row r="138">
      <c r="J138" s="15"/>
      <c r="V138" s="15"/>
      <c r="W138" s="15"/>
    </row>
    <row r="139">
      <c r="J139" s="15"/>
      <c r="V139" s="15"/>
      <c r="W139" s="15"/>
    </row>
    <row r="140">
      <c r="J140" s="15"/>
      <c r="V140" s="15"/>
      <c r="W140" s="15"/>
    </row>
    <row r="141">
      <c r="J141" s="15"/>
      <c r="V141" s="15"/>
      <c r="W141" s="15"/>
    </row>
    <row r="142">
      <c r="J142" s="15"/>
      <c r="V142" s="15"/>
      <c r="W142" s="15"/>
    </row>
    <row r="143">
      <c r="J143" s="15"/>
      <c r="V143" s="15"/>
      <c r="W143" s="15"/>
    </row>
    <row r="144">
      <c r="J144" s="15"/>
      <c r="V144" s="15"/>
      <c r="W144" s="15"/>
    </row>
    <row r="145">
      <c r="J145" s="15"/>
      <c r="V145" s="15"/>
      <c r="W145" s="15"/>
    </row>
    <row r="146">
      <c r="J146" s="15"/>
      <c r="V146" s="15"/>
      <c r="W146" s="15"/>
    </row>
    <row r="147">
      <c r="J147" s="15"/>
      <c r="V147" s="15"/>
      <c r="W147" s="15"/>
    </row>
    <row r="148">
      <c r="J148" s="15"/>
      <c r="V148" s="15"/>
      <c r="W148" s="15"/>
    </row>
    <row r="149">
      <c r="J149" s="15"/>
      <c r="V149" s="15"/>
      <c r="W149" s="15"/>
    </row>
    <row r="150">
      <c r="J150" s="15"/>
      <c r="V150" s="15"/>
      <c r="W150" s="15"/>
    </row>
    <row r="151">
      <c r="J151" s="15"/>
      <c r="V151" s="15"/>
      <c r="W151" s="15"/>
    </row>
    <row r="152">
      <c r="J152" s="15"/>
      <c r="V152" s="15"/>
      <c r="W152" s="15"/>
    </row>
    <row r="153">
      <c r="J153" s="15"/>
      <c r="V153" s="15"/>
      <c r="W153" s="15"/>
    </row>
    <row r="154">
      <c r="J154" s="15"/>
      <c r="V154" s="15"/>
      <c r="W154" s="15"/>
    </row>
    <row r="155">
      <c r="J155" s="15"/>
      <c r="V155" s="15"/>
      <c r="W155" s="15"/>
    </row>
    <row r="156">
      <c r="J156" s="15"/>
      <c r="V156" s="15"/>
      <c r="W156" s="15"/>
    </row>
    <row r="157">
      <c r="J157" s="15"/>
      <c r="V157" s="15"/>
      <c r="W157" s="15"/>
    </row>
    <row r="158">
      <c r="J158" s="15"/>
      <c r="V158" s="15"/>
      <c r="W158" s="15"/>
    </row>
    <row r="159">
      <c r="J159" s="15"/>
      <c r="V159" s="15"/>
      <c r="W159" s="15"/>
    </row>
    <row r="160">
      <c r="J160" s="15"/>
      <c r="V160" s="15"/>
      <c r="W160" s="15"/>
    </row>
    <row r="161">
      <c r="J161" s="15"/>
      <c r="V161" s="15"/>
      <c r="W161" s="15"/>
    </row>
    <row r="162">
      <c r="J162" s="15"/>
      <c r="V162" s="15"/>
      <c r="W162" s="15"/>
    </row>
    <row r="163">
      <c r="J163" s="15"/>
      <c r="V163" s="15"/>
      <c r="W163" s="15"/>
    </row>
    <row r="164">
      <c r="J164" s="15"/>
      <c r="V164" s="15"/>
      <c r="W164" s="15"/>
    </row>
    <row r="165">
      <c r="J165" s="15"/>
      <c r="V165" s="15"/>
      <c r="W165" s="15"/>
    </row>
    <row r="166">
      <c r="J166" s="15"/>
      <c r="V166" s="15"/>
      <c r="W166" s="15"/>
    </row>
    <row r="167">
      <c r="J167" s="15"/>
      <c r="V167" s="15"/>
      <c r="W167" s="15"/>
    </row>
    <row r="168">
      <c r="J168" s="15"/>
      <c r="V168" s="15"/>
      <c r="W168" s="15"/>
    </row>
    <row r="169">
      <c r="J169" s="15"/>
      <c r="V169" s="15"/>
      <c r="W169" s="15"/>
    </row>
    <row r="170">
      <c r="J170" s="15"/>
      <c r="V170" s="15"/>
      <c r="W170" s="15"/>
    </row>
    <row r="171">
      <c r="J171" s="15"/>
      <c r="V171" s="15"/>
      <c r="W171" s="15"/>
    </row>
    <row r="172">
      <c r="J172" s="15"/>
      <c r="V172" s="15"/>
      <c r="W172" s="15"/>
    </row>
    <row r="173">
      <c r="J173" s="15"/>
      <c r="V173" s="15"/>
      <c r="W173" s="15"/>
    </row>
    <row r="174">
      <c r="J174" s="15"/>
      <c r="V174" s="15"/>
      <c r="W174" s="15"/>
    </row>
    <row r="175">
      <c r="J175" s="15"/>
      <c r="V175" s="15"/>
      <c r="W175" s="15"/>
    </row>
    <row r="176">
      <c r="J176" s="15"/>
      <c r="V176" s="15"/>
      <c r="W176" s="15"/>
    </row>
    <row r="177">
      <c r="J177" s="15"/>
      <c r="V177" s="15"/>
      <c r="W177" s="15"/>
    </row>
    <row r="178">
      <c r="J178" s="15"/>
      <c r="V178" s="15"/>
      <c r="W178" s="15"/>
    </row>
    <row r="179">
      <c r="J179" s="15"/>
      <c r="V179" s="15"/>
      <c r="W179" s="15"/>
    </row>
    <row r="180">
      <c r="J180" s="15"/>
      <c r="V180" s="15"/>
      <c r="W180" s="15"/>
    </row>
    <row r="181">
      <c r="J181" s="15"/>
      <c r="V181" s="15"/>
      <c r="W181" s="15"/>
    </row>
    <row r="182">
      <c r="J182" s="15"/>
      <c r="V182" s="15"/>
      <c r="W182" s="15"/>
    </row>
    <row r="183">
      <c r="J183" s="15"/>
      <c r="V183" s="15"/>
      <c r="W183" s="15"/>
    </row>
    <row r="184">
      <c r="J184" s="15"/>
      <c r="V184" s="15"/>
      <c r="W184" s="15"/>
    </row>
    <row r="185">
      <c r="J185" s="15"/>
      <c r="V185" s="15"/>
      <c r="W185" s="15"/>
    </row>
    <row r="186">
      <c r="J186" s="15"/>
      <c r="V186" s="15"/>
      <c r="W186" s="15"/>
    </row>
    <row r="187">
      <c r="J187" s="15"/>
      <c r="V187" s="15"/>
      <c r="W187" s="15"/>
    </row>
    <row r="188">
      <c r="J188" s="15"/>
      <c r="V188" s="15"/>
      <c r="W188" s="15"/>
    </row>
    <row r="189">
      <c r="J189" s="15"/>
      <c r="V189" s="15"/>
      <c r="W189" s="15"/>
    </row>
    <row r="190">
      <c r="J190" s="15"/>
      <c r="V190" s="15"/>
      <c r="W190" s="15"/>
    </row>
    <row r="191">
      <c r="J191" s="15"/>
      <c r="V191" s="15"/>
      <c r="W191" s="15"/>
    </row>
    <row r="192">
      <c r="J192" s="15"/>
      <c r="V192" s="15"/>
      <c r="W192" s="15"/>
    </row>
    <row r="193">
      <c r="J193" s="15"/>
      <c r="V193" s="15"/>
      <c r="W193" s="15"/>
    </row>
    <row r="194">
      <c r="J194" s="15"/>
      <c r="V194" s="15"/>
      <c r="W194" s="15"/>
    </row>
    <row r="195">
      <c r="J195" s="15"/>
      <c r="V195" s="15"/>
      <c r="W195" s="15"/>
    </row>
    <row r="196">
      <c r="J196" s="15"/>
      <c r="V196" s="15"/>
      <c r="W196" s="15"/>
    </row>
    <row r="197">
      <c r="J197" s="15"/>
      <c r="V197" s="15"/>
      <c r="W197" s="15"/>
    </row>
    <row r="198">
      <c r="J198" s="15"/>
      <c r="V198" s="15"/>
      <c r="W198" s="15"/>
    </row>
    <row r="199">
      <c r="J199" s="15"/>
      <c r="V199" s="15"/>
      <c r="W199" s="15"/>
    </row>
    <row r="200">
      <c r="J200" s="15"/>
      <c r="V200" s="15"/>
      <c r="W200" s="15"/>
    </row>
    <row r="201">
      <c r="J201" s="15"/>
      <c r="V201" s="15"/>
      <c r="W201" s="15"/>
    </row>
    <row r="202">
      <c r="J202" s="15"/>
      <c r="V202" s="15"/>
      <c r="W202" s="15"/>
    </row>
    <row r="203">
      <c r="J203" s="15"/>
      <c r="V203" s="15"/>
      <c r="W203" s="15"/>
    </row>
    <row r="204">
      <c r="J204" s="15"/>
      <c r="V204" s="15"/>
      <c r="W204" s="15"/>
    </row>
    <row r="205">
      <c r="J205" s="15"/>
      <c r="V205" s="15"/>
      <c r="W205" s="15"/>
    </row>
    <row r="206">
      <c r="J206" s="15"/>
      <c r="V206" s="15"/>
      <c r="W206" s="15"/>
    </row>
    <row r="207">
      <c r="J207" s="15"/>
      <c r="V207" s="15"/>
      <c r="W207" s="15"/>
    </row>
    <row r="208">
      <c r="J208" s="15"/>
      <c r="V208" s="15"/>
      <c r="W208" s="15"/>
    </row>
    <row r="209">
      <c r="J209" s="15"/>
      <c r="V209" s="15"/>
      <c r="W209" s="15"/>
    </row>
    <row r="210">
      <c r="J210" s="15"/>
      <c r="V210" s="15"/>
      <c r="W210" s="15"/>
    </row>
    <row r="211">
      <c r="J211" s="15"/>
      <c r="V211" s="15"/>
      <c r="W211" s="15"/>
    </row>
    <row r="212">
      <c r="J212" s="15"/>
      <c r="V212" s="15"/>
      <c r="W212" s="15"/>
    </row>
    <row r="213">
      <c r="J213" s="15"/>
      <c r="V213" s="15"/>
      <c r="W213" s="15"/>
    </row>
    <row r="214">
      <c r="J214" s="15"/>
      <c r="V214" s="15"/>
      <c r="W214" s="15"/>
    </row>
    <row r="215">
      <c r="J215" s="15"/>
      <c r="V215" s="15"/>
      <c r="W215" s="15"/>
    </row>
    <row r="216">
      <c r="J216" s="15"/>
      <c r="V216" s="15"/>
      <c r="W216" s="15"/>
    </row>
    <row r="217">
      <c r="J217" s="15"/>
      <c r="V217" s="15"/>
      <c r="W217" s="15"/>
    </row>
    <row r="218">
      <c r="J218" s="15"/>
      <c r="V218" s="15"/>
      <c r="W218" s="15"/>
    </row>
    <row r="219">
      <c r="J219" s="15"/>
      <c r="V219" s="15"/>
      <c r="W219" s="15"/>
    </row>
    <row r="220">
      <c r="J220" s="15"/>
      <c r="V220" s="15"/>
      <c r="W220" s="15"/>
    </row>
    <row r="221">
      <c r="J221" s="15"/>
      <c r="V221" s="15"/>
      <c r="W221" s="15"/>
    </row>
    <row r="222">
      <c r="J222" s="15"/>
      <c r="V222" s="15"/>
      <c r="W222" s="15"/>
    </row>
    <row r="223">
      <c r="J223" s="15"/>
      <c r="V223" s="15"/>
      <c r="W223" s="15"/>
    </row>
    <row r="224">
      <c r="J224" s="15"/>
      <c r="V224" s="15"/>
      <c r="W224" s="15"/>
    </row>
    <row r="225">
      <c r="J225" s="15"/>
      <c r="V225" s="15"/>
      <c r="W225" s="15"/>
    </row>
    <row r="226">
      <c r="J226" s="15"/>
      <c r="V226" s="15"/>
      <c r="W226" s="15"/>
    </row>
    <row r="227">
      <c r="J227" s="15"/>
      <c r="V227" s="15"/>
      <c r="W227" s="15"/>
    </row>
    <row r="228">
      <c r="J228" s="15"/>
      <c r="V228" s="15"/>
      <c r="W228" s="15"/>
    </row>
    <row r="229">
      <c r="J229" s="15"/>
      <c r="V229" s="15"/>
      <c r="W229" s="15"/>
    </row>
    <row r="230">
      <c r="J230" s="15"/>
      <c r="V230" s="15"/>
      <c r="W230" s="15"/>
    </row>
    <row r="231">
      <c r="J231" s="15"/>
      <c r="V231" s="15"/>
      <c r="W231" s="15"/>
    </row>
    <row r="232">
      <c r="J232" s="15"/>
      <c r="V232" s="15"/>
      <c r="W232" s="15"/>
    </row>
    <row r="233">
      <c r="J233" s="15"/>
      <c r="V233" s="15"/>
      <c r="W233" s="15"/>
    </row>
    <row r="234">
      <c r="J234" s="15"/>
      <c r="V234" s="15"/>
      <c r="W234" s="15"/>
    </row>
    <row r="235">
      <c r="J235" s="15"/>
      <c r="V235" s="15"/>
      <c r="W235" s="15"/>
    </row>
    <row r="236">
      <c r="J236" s="15"/>
      <c r="V236" s="15"/>
      <c r="W236" s="15"/>
    </row>
    <row r="237">
      <c r="J237" s="15"/>
      <c r="V237" s="15"/>
      <c r="W237" s="15"/>
    </row>
    <row r="238">
      <c r="J238" s="15"/>
      <c r="V238" s="15"/>
      <c r="W238" s="15"/>
    </row>
    <row r="239">
      <c r="J239" s="15"/>
      <c r="V239" s="15"/>
      <c r="W239" s="15"/>
    </row>
    <row r="240">
      <c r="J240" s="15"/>
      <c r="V240" s="15"/>
      <c r="W240" s="15"/>
    </row>
    <row r="241">
      <c r="J241" s="15"/>
      <c r="V241" s="15"/>
      <c r="W241" s="15"/>
    </row>
    <row r="242">
      <c r="J242" s="15"/>
      <c r="V242" s="15"/>
      <c r="W242" s="15"/>
    </row>
    <row r="243">
      <c r="J243" s="15"/>
      <c r="V243" s="15"/>
      <c r="W243" s="15"/>
    </row>
    <row r="244">
      <c r="J244" s="15"/>
      <c r="V244" s="15"/>
      <c r="W244" s="15"/>
    </row>
    <row r="245">
      <c r="J245" s="15"/>
      <c r="V245" s="15"/>
      <c r="W245" s="15"/>
    </row>
    <row r="246">
      <c r="J246" s="15"/>
      <c r="V246" s="15"/>
      <c r="W246" s="15"/>
    </row>
    <row r="247">
      <c r="J247" s="15"/>
      <c r="V247" s="15"/>
      <c r="W247" s="15"/>
    </row>
    <row r="248">
      <c r="J248" s="15"/>
      <c r="V248" s="15"/>
      <c r="W248" s="15"/>
    </row>
    <row r="249">
      <c r="J249" s="15"/>
      <c r="V249" s="15"/>
      <c r="W249" s="15"/>
    </row>
    <row r="250">
      <c r="J250" s="15"/>
      <c r="V250" s="15"/>
      <c r="W250" s="15"/>
    </row>
    <row r="251">
      <c r="J251" s="15"/>
      <c r="V251" s="15"/>
      <c r="W251" s="15"/>
    </row>
    <row r="252">
      <c r="J252" s="15"/>
      <c r="V252" s="15"/>
      <c r="W252" s="15"/>
    </row>
    <row r="253">
      <c r="J253" s="15"/>
      <c r="V253" s="15"/>
      <c r="W253" s="15"/>
    </row>
    <row r="254">
      <c r="J254" s="15"/>
      <c r="V254" s="15"/>
      <c r="W254" s="15"/>
    </row>
    <row r="255">
      <c r="J255" s="15"/>
      <c r="V255" s="15"/>
      <c r="W255" s="15"/>
    </row>
    <row r="256">
      <c r="J256" s="15"/>
      <c r="V256" s="15"/>
      <c r="W256" s="15"/>
    </row>
    <row r="257">
      <c r="J257" s="15"/>
      <c r="V257" s="15"/>
      <c r="W257" s="15"/>
    </row>
    <row r="258">
      <c r="J258" s="15"/>
      <c r="V258" s="15"/>
      <c r="W258" s="15"/>
    </row>
    <row r="259">
      <c r="J259" s="15"/>
      <c r="V259" s="15"/>
      <c r="W259" s="15"/>
    </row>
    <row r="260">
      <c r="J260" s="15"/>
      <c r="V260" s="15"/>
      <c r="W260" s="15"/>
    </row>
    <row r="261">
      <c r="J261" s="15"/>
      <c r="V261" s="15"/>
      <c r="W261" s="15"/>
    </row>
    <row r="262">
      <c r="J262" s="15"/>
      <c r="V262" s="15"/>
      <c r="W262" s="15"/>
    </row>
    <row r="263">
      <c r="J263" s="15"/>
      <c r="V263" s="15"/>
      <c r="W263" s="15"/>
    </row>
    <row r="264">
      <c r="J264" s="15"/>
      <c r="V264" s="15"/>
      <c r="W264" s="15"/>
    </row>
    <row r="265">
      <c r="J265" s="15"/>
      <c r="V265" s="15"/>
      <c r="W265" s="15"/>
    </row>
    <row r="266">
      <c r="J266" s="15"/>
      <c r="V266" s="15"/>
      <c r="W266" s="15"/>
    </row>
    <row r="267">
      <c r="J267" s="15"/>
      <c r="V267" s="15"/>
      <c r="W267" s="15"/>
    </row>
    <row r="268">
      <c r="J268" s="15"/>
      <c r="V268" s="15"/>
      <c r="W268" s="15"/>
    </row>
    <row r="269">
      <c r="J269" s="15"/>
      <c r="V269" s="15"/>
      <c r="W269" s="15"/>
    </row>
    <row r="270">
      <c r="J270" s="15"/>
      <c r="V270" s="15"/>
      <c r="W270" s="15"/>
    </row>
    <row r="271">
      <c r="J271" s="15"/>
      <c r="V271" s="15"/>
      <c r="W271" s="15"/>
    </row>
    <row r="272">
      <c r="J272" s="15"/>
      <c r="V272" s="15"/>
      <c r="W272" s="15"/>
    </row>
    <row r="273">
      <c r="J273" s="15"/>
      <c r="V273" s="15"/>
      <c r="W273" s="15"/>
    </row>
    <row r="274">
      <c r="J274" s="15"/>
      <c r="V274" s="15"/>
      <c r="W274" s="15"/>
    </row>
    <row r="275">
      <c r="J275" s="15"/>
      <c r="V275" s="15"/>
      <c r="W275" s="15"/>
    </row>
    <row r="276">
      <c r="J276" s="15"/>
      <c r="V276" s="15"/>
      <c r="W276" s="15"/>
    </row>
    <row r="277">
      <c r="J277" s="15"/>
      <c r="V277" s="15"/>
      <c r="W277" s="15"/>
    </row>
    <row r="278">
      <c r="J278" s="15"/>
      <c r="V278" s="15"/>
      <c r="W278" s="15"/>
    </row>
    <row r="279">
      <c r="J279" s="15"/>
      <c r="V279" s="15"/>
      <c r="W279" s="15"/>
    </row>
    <row r="280">
      <c r="J280" s="15"/>
      <c r="V280" s="15"/>
      <c r="W280" s="15"/>
    </row>
    <row r="281">
      <c r="J281" s="15"/>
      <c r="V281" s="15"/>
      <c r="W281" s="15"/>
    </row>
    <row r="282">
      <c r="J282" s="15"/>
      <c r="V282" s="15"/>
      <c r="W282" s="15"/>
    </row>
    <row r="283">
      <c r="J283" s="15"/>
      <c r="V283" s="15"/>
      <c r="W283" s="15"/>
    </row>
    <row r="284">
      <c r="J284" s="15"/>
      <c r="V284" s="15"/>
      <c r="W284" s="15"/>
    </row>
    <row r="285">
      <c r="J285" s="15"/>
      <c r="V285" s="15"/>
      <c r="W285" s="15"/>
    </row>
    <row r="286">
      <c r="J286" s="15"/>
      <c r="V286" s="15"/>
      <c r="W286" s="15"/>
    </row>
    <row r="287">
      <c r="J287" s="15"/>
      <c r="V287" s="15"/>
      <c r="W287" s="15"/>
    </row>
    <row r="288">
      <c r="J288" s="15"/>
      <c r="V288" s="15"/>
      <c r="W288" s="15"/>
    </row>
    <row r="289">
      <c r="J289" s="15"/>
      <c r="V289" s="15"/>
      <c r="W289" s="15"/>
    </row>
    <row r="290">
      <c r="J290" s="15"/>
      <c r="V290" s="15"/>
      <c r="W290" s="15"/>
    </row>
    <row r="291">
      <c r="J291" s="15"/>
      <c r="V291" s="15"/>
      <c r="W291" s="15"/>
    </row>
    <row r="292">
      <c r="J292" s="15"/>
      <c r="V292" s="15"/>
      <c r="W292" s="15"/>
    </row>
    <row r="293">
      <c r="J293" s="15"/>
      <c r="V293" s="15"/>
      <c r="W293" s="15"/>
    </row>
    <row r="294">
      <c r="J294" s="15"/>
      <c r="V294" s="15"/>
      <c r="W294" s="15"/>
    </row>
    <row r="295">
      <c r="J295" s="15"/>
      <c r="V295" s="15"/>
      <c r="W295" s="15"/>
    </row>
    <row r="296">
      <c r="J296" s="15"/>
      <c r="V296" s="15"/>
      <c r="W296" s="15"/>
    </row>
    <row r="297">
      <c r="J297" s="15"/>
      <c r="V297" s="15"/>
      <c r="W297" s="15"/>
    </row>
    <row r="298">
      <c r="J298" s="15"/>
      <c r="V298" s="15"/>
      <c r="W298" s="15"/>
    </row>
    <row r="299">
      <c r="J299" s="15"/>
      <c r="V299" s="15"/>
      <c r="W299" s="15"/>
    </row>
    <row r="300">
      <c r="J300" s="15"/>
      <c r="V300" s="15"/>
      <c r="W300" s="15"/>
    </row>
    <row r="301">
      <c r="J301" s="15"/>
      <c r="V301" s="15"/>
      <c r="W301" s="15"/>
    </row>
    <row r="302">
      <c r="J302" s="15"/>
      <c r="V302" s="15"/>
      <c r="W302" s="15"/>
    </row>
    <row r="303">
      <c r="J303" s="15"/>
      <c r="V303" s="15"/>
      <c r="W303" s="15"/>
    </row>
    <row r="304">
      <c r="J304" s="15"/>
      <c r="V304" s="15"/>
      <c r="W304" s="15"/>
    </row>
    <row r="305">
      <c r="J305" s="15"/>
      <c r="V305" s="15"/>
      <c r="W305" s="15"/>
    </row>
    <row r="306">
      <c r="J306" s="15"/>
      <c r="V306" s="15"/>
      <c r="W306" s="15"/>
    </row>
    <row r="307">
      <c r="J307" s="15"/>
      <c r="V307" s="15"/>
      <c r="W307" s="15"/>
    </row>
    <row r="308">
      <c r="J308" s="15"/>
      <c r="V308" s="15"/>
      <c r="W308" s="15"/>
    </row>
    <row r="309">
      <c r="J309" s="15"/>
      <c r="V309" s="15"/>
      <c r="W309" s="15"/>
    </row>
    <row r="310">
      <c r="J310" s="15"/>
      <c r="V310" s="15"/>
      <c r="W310" s="15"/>
    </row>
    <row r="311">
      <c r="J311" s="15"/>
      <c r="V311" s="15"/>
      <c r="W311" s="15"/>
    </row>
    <row r="312">
      <c r="J312" s="15"/>
      <c r="V312" s="15"/>
      <c r="W312" s="15"/>
    </row>
    <row r="313">
      <c r="J313" s="15"/>
      <c r="V313" s="15"/>
      <c r="W313" s="15"/>
    </row>
    <row r="314">
      <c r="J314" s="15"/>
      <c r="V314" s="15"/>
      <c r="W314" s="15"/>
    </row>
    <row r="315">
      <c r="J315" s="15"/>
      <c r="V315" s="15"/>
      <c r="W315" s="15"/>
    </row>
    <row r="316">
      <c r="J316" s="15"/>
      <c r="V316" s="15"/>
      <c r="W316" s="15"/>
    </row>
    <row r="317">
      <c r="J317" s="15"/>
      <c r="V317" s="15"/>
      <c r="W317" s="15"/>
    </row>
    <row r="318">
      <c r="J318" s="15"/>
      <c r="V318" s="15"/>
      <c r="W318" s="15"/>
    </row>
    <row r="319">
      <c r="J319" s="15"/>
      <c r="V319" s="15"/>
      <c r="W319" s="15"/>
    </row>
    <row r="320">
      <c r="J320" s="15"/>
      <c r="V320" s="15"/>
      <c r="W320" s="15"/>
    </row>
    <row r="321">
      <c r="J321" s="15"/>
      <c r="V321" s="15"/>
      <c r="W321" s="15"/>
    </row>
    <row r="322">
      <c r="J322" s="15"/>
      <c r="V322" s="15"/>
      <c r="W322" s="15"/>
    </row>
    <row r="323">
      <c r="J323" s="15"/>
      <c r="V323" s="15"/>
      <c r="W323" s="15"/>
    </row>
    <row r="324">
      <c r="J324" s="15"/>
      <c r="V324" s="15"/>
      <c r="W324" s="15"/>
    </row>
    <row r="325">
      <c r="J325" s="15"/>
      <c r="V325" s="15"/>
      <c r="W325" s="15"/>
    </row>
    <row r="326">
      <c r="J326" s="15"/>
      <c r="V326" s="15"/>
      <c r="W326" s="15"/>
    </row>
    <row r="327">
      <c r="J327" s="15"/>
      <c r="V327" s="15"/>
      <c r="W327" s="15"/>
    </row>
    <row r="328">
      <c r="J328" s="15"/>
      <c r="V328" s="15"/>
      <c r="W328" s="15"/>
    </row>
    <row r="329">
      <c r="J329" s="15"/>
      <c r="V329" s="15"/>
      <c r="W329" s="15"/>
    </row>
    <row r="330">
      <c r="J330" s="15"/>
      <c r="V330" s="15"/>
      <c r="W330" s="15"/>
    </row>
    <row r="331">
      <c r="J331" s="15"/>
      <c r="V331" s="15"/>
      <c r="W331" s="15"/>
    </row>
    <row r="332">
      <c r="J332" s="15"/>
      <c r="V332" s="15"/>
      <c r="W332" s="15"/>
    </row>
    <row r="333">
      <c r="J333" s="15"/>
      <c r="V333" s="15"/>
      <c r="W333" s="15"/>
    </row>
    <row r="334">
      <c r="J334" s="15"/>
      <c r="V334" s="15"/>
      <c r="W334" s="15"/>
    </row>
    <row r="335">
      <c r="J335" s="15"/>
      <c r="V335" s="15"/>
      <c r="W335" s="15"/>
    </row>
    <row r="336">
      <c r="J336" s="15"/>
      <c r="V336" s="15"/>
      <c r="W336" s="15"/>
    </row>
    <row r="337">
      <c r="J337" s="15"/>
      <c r="V337" s="15"/>
      <c r="W337" s="15"/>
    </row>
    <row r="338">
      <c r="J338" s="15"/>
      <c r="V338" s="15"/>
      <c r="W338" s="15"/>
    </row>
    <row r="339">
      <c r="J339" s="15"/>
      <c r="V339" s="15"/>
      <c r="W339" s="15"/>
    </row>
    <row r="340">
      <c r="J340" s="15"/>
      <c r="V340" s="15"/>
      <c r="W340" s="15"/>
    </row>
    <row r="341">
      <c r="J341" s="15"/>
      <c r="V341" s="15"/>
      <c r="W341" s="15"/>
    </row>
    <row r="342">
      <c r="J342" s="15"/>
      <c r="V342" s="15"/>
      <c r="W342" s="15"/>
    </row>
    <row r="343">
      <c r="J343" s="15"/>
      <c r="V343" s="15"/>
      <c r="W343" s="15"/>
    </row>
    <row r="344">
      <c r="J344" s="15"/>
      <c r="V344" s="15"/>
      <c r="W344" s="15"/>
    </row>
    <row r="345">
      <c r="J345" s="15"/>
      <c r="V345" s="15"/>
      <c r="W345" s="15"/>
    </row>
    <row r="346">
      <c r="J346" s="15"/>
      <c r="V346" s="15"/>
      <c r="W346" s="15"/>
    </row>
    <row r="347">
      <c r="J347" s="15"/>
      <c r="V347" s="15"/>
      <c r="W347" s="15"/>
    </row>
    <row r="348">
      <c r="J348" s="15"/>
      <c r="V348" s="15"/>
      <c r="W348" s="15"/>
    </row>
    <row r="349">
      <c r="J349" s="15"/>
      <c r="V349" s="15"/>
      <c r="W349" s="15"/>
    </row>
    <row r="350">
      <c r="J350" s="15"/>
      <c r="V350" s="15"/>
      <c r="W350" s="15"/>
    </row>
    <row r="351">
      <c r="J351" s="15"/>
      <c r="V351" s="15"/>
      <c r="W351" s="15"/>
    </row>
    <row r="352">
      <c r="J352" s="15"/>
      <c r="V352" s="15"/>
      <c r="W352" s="15"/>
    </row>
    <row r="353">
      <c r="J353" s="15"/>
      <c r="V353" s="15"/>
      <c r="W353" s="15"/>
    </row>
    <row r="354">
      <c r="J354" s="15"/>
      <c r="V354" s="15"/>
      <c r="W354" s="15"/>
    </row>
    <row r="355">
      <c r="J355" s="15"/>
      <c r="V355" s="15"/>
      <c r="W355" s="15"/>
    </row>
    <row r="356">
      <c r="J356" s="15"/>
      <c r="V356" s="15"/>
      <c r="W356" s="15"/>
    </row>
    <row r="357">
      <c r="J357" s="15"/>
      <c r="V357" s="15"/>
      <c r="W357" s="15"/>
    </row>
    <row r="358">
      <c r="J358" s="15"/>
      <c r="V358" s="15"/>
      <c r="W358" s="15"/>
    </row>
    <row r="359">
      <c r="J359" s="15"/>
      <c r="V359" s="15"/>
      <c r="W359" s="15"/>
    </row>
    <row r="360">
      <c r="J360" s="15"/>
      <c r="V360" s="15"/>
      <c r="W360" s="15"/>
    </row>
    <row r="361">
      <c r="J361" s="15"/>
      <c r="V361" s="15"/>
      <c r="W361" s="15"/>
    </row>
    <row r="362">
      <c r="J362" s="15"/>
      <c r="V362" s="15"/>
      <c r="W362" s="15"/>
    </row>
    <row r="363">
      <c r="J363" s="15"/>
      <c r="V363" s="15"/>
      <c r="W363" s="15"/>
    </row>
    <row r="364">
      <c r="J364" s="15"/>
      <c r="V364" s="15"/>
      <c r="W364" s="15"/>
    </row>
    <row r="365">
      <c r="J365" s="15"/>
      <c r="V365" s="15"/>
      <c r="W365" s="15"/>
    </row>
    <row r="366">
      <c r="J366" s="15"/>
      <c r="V366" s="15"/>
      <c r="W366" s="15"/>
    </row>
    <row r="367">
      <c r="J367" s="15"/>
      <c r="V367" s="15"/>
      <c r="W367" s="15"/>
    </row>
    <row r="368">
      <c r="J368" s="15"/>
      <c r="V368" s="15"/>
      <c r="W368" s="15"/>
    </row>
    <row r="369">
      <c r="J369" s="15"/>
      <c r="V369" s="15"/>
      <c r="W369" s="15"/>
    </row>
    <row r="370">
      <c r="J370" s="15"/>
      <c r="V370" s="15"/>
      <c r="W370" s="15"/>
    </row>
    <row r="371">
      <c r="J371" s="15"/>
      <c r="V371" s="15"/>
      <c r="W371" s="15"/>
    </row>
    <row r="372">
      <c r="J372" s="15"/>
      <c r="V372" s="15"/>
      <c r="W372" s="15"/>
    </row>
    <row r="373">
      <c r="J373" s="15"/>
      <c r="V373" s="15"/>
      <c r="W373" s="15"/>
    </row>
    <row r="374">
      <c r="J374" s="15"/>
      <c r="V374" s="15"/>
      <c r="W374" s="15"/>
    </row>
    <row r="375">
      <c r="J375" s="15"/>
      <c r="V375" s="15"/>
      <c r="W375" s="15"/>
    </row>
    <row r="376">
      <c r="J376" s="15"/>
      <c r="V376" s="15"/>
      <c r="W376" s="15"/>
    </row>
    <row r="377">
      <c r="J377" s="15"/>
      <c r="V377" s="15"/>
      <c r="W377" s="15"/>
    </row>
    <row r="378">
      <c r="J378" s="15"/>
      <c r="V378" s="15"/>
      <c r="W378" s="15"/>
    </row>
    <row r="379">
      <c r="J379" s="15"/>
      <c r="V379" s="15"/>
      <c r="W379" s="15"/>
    </row>
    <row r="380">
      <c r="J380" s="15"/>
      <c r="V380" s="15"/>
      <c r="W380" s="15"/>
    </row>
    <row r="381">
      <c r="J381" s="15"/>
      <c r="V381" s="15"/>
      <c r="W381" s="15"/>
    </row>
    <row r="382">
      <c r="J382" s="15"/>
      <c r="V382" s="15"/>
      <c r="W382" s="15"/>
    </row>
    <row r="383">
      <c r="J383" s="15"/>
      <c r="V383" s="15"/>
      <c r="W383" s="15"/>
    </row>
    <row r="384">
      <c r="J384" s="15"/>
      <c r="V384" s="15"/>
      <c r="W384" s="15"/>
    </row>
    <row r="385">
      <c r="J385" s="15"/>
      <c r="V385" s="15"/>
      <c r="W385" s="15"/>
    </row>
    <row r="386">
      <c r="J386" s="15"/>
      <c r="V386" s="15"/>
      <c r="W386" s="15"/>
    </row>
    <row r="387">
      <c r="J387" s="15"/>
      <c r="V387" s="15"/>
      <c r="W387" s="15"/>
    </row>
    <row r="388">
      <c r="J388" s="15"/>
      <c r="V388" s="15"/>
      <c r="W388" s="15"/>
    </row>
    <row r="389">
      <c r="J389" s="15"/>
      <c r="V389" s="15"/>
      <c r="W389" s="15"/>
    </row>
    <row r="390">
      <c r="J390" s="15"/>
      <c r="V390" s="15"/>
      <c r="W390" s="15"/>
    </row>
    <row r="391">
      <c r="J391" s="15"/>
      <c r="V391" s="15"/>
      <c r="W391" s="15"/>
    </row>
    <row r="392">
      <c r="J392" s="15"/>
      <c r="V392" s="15"/>
      <c r="W392" s="15"/>
    </row>
    <row r="393">
      <c r="J393" s="15"/>
      <c r="V393" s="15"/>
      <c r="W393" s="15"/>
    </row>
    <row r="394">
      <c r="J394" s="15"/>
      <c r="V394" s="15"/>
      <c r="W394" s="15"/>
    </row>
    <row r="395">
      <c r="J395" s="15"/>
      <c r="V395" s="15"/>
      <c r="W395" s="15"/>
    </row>
    <row r="396">
      <c r="J396" s="15"/>
      <c r="V396" s="15"/>
      <c r="W396" s="15"/>
    </row>
    <row r="397">
      <c r="J397" s="15"/>
      <c r="V397" s="15"/>
      <c r="W397" s="15"/>
    </row>
    <row r="398">
      <c r="J398" s="15"/>
      <c r="V398" s="15"/>
      <c r="W398" s="15"/>
    </row>
    <row r="399">
      <c r="J399" s="15"/>
      <c r="V399" s="15"/>
      <c r="W399" s="15"/>
    </row>
    <row r="400">
      <c r="J400" s="15"/>
      <c r="V400" s="15"/>
      <c r="W400" s="15"/>
    </row>
    <row r="401">
      <c r="J401" s="15"/>
      <c r="V401" s="15"/>
      <c r="W401" s="15"/>
    </row>
    <row r="402">
      <c r="J402" s="15"/>
      <c r="V402" s="15"/>
      <c r="W402" s="15"/>
    </row>
    <row r="403">
      <c r="J403" s="15"/>
      <c r="V403" s="15"/>
      <c r="W403" s="15"/>
    </row>
    <row r="404">
      <c r="J404" s="15"/>
      <c r="V404" s="15"/>
      <c r="W404" s="15"/>
    </row>
    <row r="405">
      <c r="J405" s="15"/>
      <c r="V405" s="15"/>
      <c r="W405" s="15"/>
    </row>
    <row r="406">
      <c r="J406" s="15"/>
      <c r="V406" s="15"/>
      <c r="W406" s="15"/>
    </row>
    <row r="407">
      <c r="J407" s="15"/>
      <c r="V407" s="15"/>
      <c r="W407" s="15"/>
    </row>
    <row r="408">
      <c r="J408" s="15"/>
      <c r="V408" s="15"/>
      <c r="W408" s="15"/>
    </row>
    <row r="409">
      <c r="J409" s="15"/>
      <c r="V409" s="15"/>
      <c r="W409" s="15"/>
    </row>
    <row r="410">
      <c r="J410" s="15"/>
      <c r="V410" s="15"/>
      <c r="W410" s="15"/>
    </row>
    <row r="411">
      <c r="J411" s="15"/>
      <c r="V411" s="15"/>
      <c r="W411" s="15"/>
    </row>
    <row r="412">
      <c r="J412" s="15"/>
      <c r="V412" s="15"/>
      <c r="W412" s="15"/>
    </row>
    <row r="413">
      <c r="J413" s="15"/>
      <c r="V413" s="15"/>
      <c r="W413" s="15"/>
    </row>
    <row r="414">
      <c r="J414" s="15"/>
      <c r="V414" s="15"/>
      <c r="W414" s="15"/>
    </row>
    <row r="415">
      <c r="J415" s="15"/>
      <c r="V415" s="15"/>
      <c r="W415" s="15"/>
    </row>
    <row r="416">
      <c r="J416" s="15"/>
      <c r="V416" s="15"/>
      <c r="W416" s="15"/>
    </row>
    <row r="417">
      <c r="J417" s="15"/>
      <c r="V417" s="15"/>
      <c r="W417" s="15"/>
    </row>
    <row r="418">
      <c r="J418" s="15"/>
      <c r="V418" s="15"/>
      <c r="W418" s="15"/>
    </row>
    <row r="419">
      <c r="J419" s="15"/>
      <c r="V419" s="15"/>
      <c r="W419" s="15"/>
    </row>
    <row r="420">
      <c r="J420" s="15"/>
      <c r="V420" s="15"/>
      <c r="W420" s="15"/>
    </row>
    <row r="421">
      <c r="J421" s="15"/>
      <c r="V421" s="15"/>
      <c r="W421" s="15"/>
    </row>
    <row r="422">
      <c r="J422" s="15"/>
      <c r="V422" s="15"/>
      <c r="W422" s="15"/>
    </row>
    <row r="423">
      <c r="J423" s="15"/>
      <c r="V423" s="15"/>
      <c r="W423" s="15"/>
    </row>
    <row r="424">
      <c r="J424" s="15"/>
      <c r="V424" s="15"/>
      <c r="W424" s="15"/>
    </row>
    <row r="425">
      <c r="J425" s="15"/>
      <c r="V425" s="15"/>
      <c r="W425" s="15"/>
    </row>
    <row r="426">
      <c r="J426" s="15"/>
      <c r="V426" s="15"/>
      <c r="W426" s="15"/>
    </row>
    <row r="427">
      <c r="J427" s="15"/>
      <c r="V427" s="15"/>
      <c r="W427" s="15"/>
    </row>
    <row r="428">
      <c r="J428" s="15"/>
      <c r="V428" s="15"/>
      <c r="W428" s="15"/>
    </row>
    <row r="429">
      <c r="J429" s="15"/>
      <c r="V429" s="15"/>
      <c r="W429" s="15"/>
    </row>
    <row r="430">
      <c r="J430" s="15"/>
      <c r="V430" s="15"/>
      <c r="W430" s="15"/>
    </row>
    <row r="431">
      <c r="J431" s="15"/>
      <c r="V431" s="15"/>
      <c r="W431" s="15"/>
    </row>
    <row r="432">
      <c r="J432" s="15"/>
      <c r="V432" s="15"/>
      <c r="W432" s="15"/>
    </row>
    <row r="433">
      <c r="J433" s="15"/>
      <c r="V433" s="15"/>
      <c r="W433" s="15"/>
    </row>
    <row r="434">
      <c r="J434" s="15"/>
      <c r="V434" s="15"/>
      <c r="W434" s="15"/>
    </row>
    <row r="435">
      <c r="J435" s="15"/>
      <c r="V435" s="15"/>
      <c r="W435" s="15"/>
    </row>
    <row r="436">
      <c r="J436" s="15"/>
      <c r="V436" s="15"/>
      <c r="W436" s="15"/>
    </row>
    <row r="437">
      <c r="J437" s="15"/>
      <c r="V437" s="15"/>
      <c r="W437" s="15"/>
    </row>
    <row r="438">
      <c r="J438" s="15"/>
      <c r="V438" s="15"/>
      <c r="W438" s="15"/>
    </row>
    <row r="439">
      <c r="J439" s="15"/>
      <c r="V439" s="15"/>
      <c r="W439" s="15"/>
    </row>
    <row r="440">
      <c r="J440" s="15"/>
      <c r="V440" s="15"/>
      <c r="W440" s="15"/>
    </row>
    <row r="441">
      <c r="J441" s="15"/>
      <c r="V441" s="15"/>
      <c r="W441" s="15"/>
    </row>
    <row r="442">
      <c r="J442" s="15"/>
      <c r="V442" s="15"/>
      <c r="W442" s="15"/>
    </row>
    <row r="443">
      <c r="J443" s="15"/>
      <c r="V443" s="15"/>
      <c r="W443" s="15"/>
    </row>
    <row r="444">
      <c r="J444" s="15"/>
      <c r="V444" s="15"/>
      <c r="W444" s="15"/>
    </row>
    <row r="445">
      <c r="J445" s="15"/>
      <c r="V445" s="15"/>
      <c r="W445" s="15"/>
    </row>
    <row r="446">
      <c r="J446" s="15"/>
      <c r="V446" s="15"/>
      <c r="W446" s="15"/>
    </row>
    <row r="447">
      <c r="J447" s="15"/>
      <c r="V447" s="15"/>
      <c r="W447" s="15"/>
    </row>
    <row r="448">
      <c r="J448" s="15"/>
      <c r="V448" s="15"/>
      <c r="W448" s="15"/>
    </row>
    <row r="449">
      <c r="J449" s="15"/>
      <c r="V449" s="15"/>
      <c r="W449" s="15"/>
    </row>
    <row r="450">
      <c r="J450" s="15"/>
      <c r="V450" s="15"/>
      <c r="W450" s="15"/>
    </row>
    <row r="451">
      <c r="J451" s="15"/>
      <c r="V451" s="15"/>
      <c r="W451" s="15"/>
    </row>
    <row r="452">
      <c r="J452" s="15"/>
      <c r="V452" s="15"/>
      <c r="W452" s="15"/>
    </row>
    <row r="453">
      <c r="J453" s="15"/>
      <c r="V453" s="15"/>
      <c r="W453" s="15"/>
    </row>
    <row r="454">
      <c r="J454" s="15"/>
      <c r="V454" s="15"/>
      <c r="W454" s="15"/>
    </row>
    <row r="455">
      <c r="J455" s="15"/>
      <c r="V455" s="15"/>
      <c r="W455" s="15"/>
    </row>
    <row r="456">
      <c r="J456" s="15"/>
      <c r="V456" s="15"/>
      <c r="W456" s="15"/>
    </row>
    <row r="457">
      <c r="J457" s="15"/>
      <c r="V457" s="15"/>
      <c r="W457" s="15"/>
    </row>
    <row r="458">
      <c r="J458" s="15"/>
      <c r="V458" s="15"/>
      <c r="W458" s="15"/>
    </row>
    <row r="459">
      <c r="J459" s="15"/>
      <c r="V459" s="15"/>
      <c r="W459" s="15"/>
    </row>
    <row r="460">
      <c r="J460" s="15"/>
      <c r="V460" s="15"/>
      <c r="W460" s="15"/>
    </row>
    <row r="461">
      <c r="J461" s="15"/>
      <c r="V461" s="15"/>
      <c r="W461" s="15"/>
    </row>
    <row r="462">
      <c r="J462" s="15"/>
      <c r="V462" s="15"/>
      <c r="W462" s="15"/>
    </row>
    <row r="463">
      <c r="J463" s="15"/>
      <c r="V463" s="15"/>
      <c r="W463" s="15"/>
    </row>
    <row r="464">
      <c r="J464" s="15"/>
      <c r="V464" s="15"/>
      <c r="W464" s="15"/>
    </row>
    <row r="465">
      <c r="J465" s="15"/>
      <c r="V465" s="15"/>
      <c r="W465" s="15"/>
    </row>
    <row r="466">
      <c r="J466" s="15"/>
      <c r="V466" s="15"/>
      <c r="W466" s="15"/>
    </row>
    <row r="467">
      <c r="J467" s="15"/>
      <c r="V467" s="15"/>
      <c r="W467" s="15"/>
    </row>
    <row r="468">
      <c r="J468" s="15"/>
      <c r="V468" s="15"/>
      <c r="W468" s="15"/>
    </row>
    <row r="469">
      <c r="J469" s="15"/>
      <c r="V469" s="15"/>
      <c r="W469" s="15"/>
    </row>
    <row r="470">
      <c r="J470" s="15"/>
      <c r="V470" s="15"/>
      <c r="W470" s="15"/>
    </row>
    <row r="471">
      <c r="J471" s="15"/>
      <c r="V471" s="15"/>
      <c r="W471" s="15"/>
    </row>
    <row r="472">
      <c r="J472" s="15"/>
      <c r="V472" s="15"/>
      <c r="W472" s="15"/>
    </row>
    <row r="473">
      <c r="J473" s="15"/>
      <c r="V473" s="15"/>
      <c r="W473" s="15"/>
    </row>
    <row r="474">
      <c r="J474" s="15"/>
      <c r="V474" s="15"/>
      <c r="W474" s="15"/>
    </row>
    <row r="475">
      <c r="J475" s="15"/>
      <c r="V475" s="15"/>
      <c r="W475" s="15"/>
    </row>
    <row r="476">
      <c r="J476" s="15"/>
      <c r="V476" s="15"/>
      <c r="W476" s="15"/>
    </row>
    <row r="477">
      <c r="J477" s="15"/>
      <c r="V477" s="15"/>
      <c r="W477" s="15"/>
    </row>
    <row r="478">
      <c r="J478" s="15"/>
      <c r="V478" s="15"/>
      <c r="W478" s="15"/>
    </row>
    <row r="479">
      <c r="J479" s="15"/>
      <c r="V479" s="15"/>
      <c r="W479" s="15"/>
    </row>
    <row r="480">
      <c r="J480" s="15"/>
      <c r="V480" s="15"/>
      <c r="W480" s="15"/>
    </row>
    <row r="481">
      <c r="J481" s="15"/>
      <c r="V481" s="15"/>
      <c r="W481" s="15"/>
    </row>
    <row r="482">
      <c r="J482" s="15"/>
      <c r="V482" s="15"/>
      <c r="W482" s="15"/>
    </row>
    <row r="483">
      <c r="J483" s="15"/>
      <c r="V483" s="15"/>
      <c r="W483" s="15"/>
    </row>
    <row r="484">
      <c r="J484" s="15"/>
      <c r="V484" s="15"/>
      <c r="W484" s="15"/>
    </row>
    <row r="485">
      <c r="J485" s="15"/>
      <c r="V485" s="15"/>
      <c r="W485" s="15"/>
    </row>
    <row r="486">
      <c r="J486" s="15"/>
      <c r="V486" s="15"/>
      <c r="W486" s="15"/>
    </row>
    <row r="487">
      <c r="J487" s="15"/>
      <c r="V487" s="15"/>
      <c r="W487" s="15"/>
    </row>
    <row r="488">
      <c r="J488" s="15"/>
      <c r="V488" s="15"/>
      <c r="W488" s="15"/>
    </row>
    <row r="489">
      <c r="J489" s="15"/>
      <c r="V489" s="15"/>
      <c r="W489" s="15"/>
    </row>
    <row r="490">
      <c r="J490" s="15"/>
      <c r="V490" s="15"/>
      <c r="W490" s="15"/>
    </row>
    <row r="491">
      <c r="J491" s="15"/>
      <c r="V491" s="15"/>
      <c r="W491" s="15"/>
    </row>
    <row r="492">
      <c r="J492" s="15"/>
      <c r="V492" s="15"/>
      <c r="W492" s="15"/>
    </row>
    <row r="493">
      <c r="J493" s="15"/>
      <c r="V493" s="15"/>
      <c r="W493" s="15"/>
    </row>
    <row r="494">
      <c r="J494" s="15"/>
      <c r="V494" s="15"/>
      <c r="W494" s="15"/>
    </row>
    <row r="495">
      <c r="J495" s="15"/>
      <c r="V495" s="15"/>
      <c r="W495" s="15"/>
    </row>
    <row r="496">
      <c r="J496" s="15"/>
      <c r="V496" s="15"/>
      <c r="W496" s="15"/>
    </row>
    <row r="497">
      <c r="J497" s="15"/>
      <c r="V497" s="15"/>
      <c r="W497" s="15"/>
    </row>
    <row r="498">
      <c r="J498" s="15"/>
      <c r="V498" s="15"/>
      <c r="W498" s="15"/>
    </row>
    <row r="499">
      <c r="J499" s="15"/>
      <c r="V499" s="15"/>
      <c r="W499" s="15"/>
    </row>
    <row r="500">
      <c r="J500" s="15"/>
      <c r="V500" s="15"/>
      <c r="W500" s="15"/>
    </row>
    <row r="501">
      <c r="J501" s="15"/>
      <c r="V501" s="15"/>
      <c r="W501" s="15"/>
    </row>
    <row r="502">
      <c r="J502" s="15"/>
      <c r="V502" s="15"/>
      <c r="W502" s="15"/>
    </row>
    <row r="503">
      <c r="J503" s="15"/>
      <c r="V503" s="15"/>
      <c r="W503" s="15"/>
    </row>
    <row r="504">
      <c r="J504" s="15"/>
      <c r="V504" s="15"/>
      <c r="W504" s="15"/>
    </row>
    <row r="505">
      <c r="J505" s="15"/>
      <c r="V505" s="15"/>
      <c r="W505" s="15"/>
    </row>
    <row r="506">
      <c r="J506" s="15"/>
      <c r="V506" s="15"/>
      <c r="W506" s="15"/>
    </row>
    <row r="507">
      <c r="J507" s="15"/>
      <c r="V507" s="15"/>
      <c r="W507" s="15"/>
    </row>
    <row r="508">
      <c r="J508" s="15"/>
      <c r="V508" s="15"/>
      <c r="W508" s="15"/>
    </row>
    <row r="509">
      <c r="J509" s="15"/>
      <c r="V509" s="15"/>
      <c r="W509" s="15"/>
    </row>
    <row r="510">
      <c r="J510" s="15"/>
      <c r="V510" s="15"/>
      <c r="W510" s="15"/>
    </row>
    <row r="511">
      <c r="J511" s="15"/>
      <c r="V511" s="15"/>
      <c r="W511" s="15"/>
    </row>
    <row r="512">
      <c r="J512" s="15"/>
      <c r="V512" s="15"/>
      <c r="W512" s="15"/>
    </row>
    <row r="513">
      <c r="J513" s="15"/>
      <c r="V513" s="15"/>
      <c r="W513" s="15"/>
    </row>
    <row r="514">
      <c r="J514" s="15"/>
      <c r="V514" s="15"/>
      <c r="W514" s="15"/>
    </row>
    <row r="515">
      <c r="J515" s="15"/>
      <c r="V515" s="15"/>
      <c r="W515" s="15"/>
    </row>
    <row r="516">
      <c r="J516" s="15"/>
      <c r="V516" s="15"/>
      <c r="W516" s="15"/>
    </row>
    <row r="517">
      <c r="J517" s="15"/>
      <c r="V517" s="15"/>
      <c r="W517" s="15"/>
    </row>
    <row r="518">
      <c r="J518" s="15"/>
      <c r="V518" s="15"/>
      <c r="W518" s="15"/>
    </row>
    <row r="519">
      <c r="J519" s="15"/>
      <c r="V519" s="15"/>
      <c r="W519" s="15"/>
    </row>
    <row r="520">
      <c r="J520" s="15"/>
      <c r="V520" s="15"/>
      <c r="W520" s="15"/>
    </row>
    <row r="521">
      <c r="J521" s="15"/>
      <c r="V521" s="15"/>
      <c r="W521" s="15"/>
    </row>
    <row r="522">
      <c r="J522" s="15"/>
      <c r="V522" s="15"/>
      <c r="W522" s="15"/>
    </row>
    <row r="523">
      <c r="J523" s="15"/>
      <c r="V523" s="15"/>
      <c r="W523" s="15"/>
    </row>
    <row r="524">
      <c r="J524" s="15"/>
      <c r="V524" s="15"/>
      <c r="W524" s="15"/>
    </row>
    <row r="525">
      <c r="J525" s="15"/>
      <c r="V525" s="15"/>
      <c r="W525" s="15"/>
    </row>
    <row r="526">
      <c r="J526" s="15"/>
      <c r="V526" s="15"/>
      <c r="W526" s="15"/>
    </row>
    <row r="527">
      <c r="J527" s="15"/>
      <c r="V527" s="15"/>
      <c r="W527" s="15"/>
    </row>
    <row r="528">
      <c r="J528" s="15"/>
      <c r="V528" s="15"/>
      <c r="W528" s="15"/>
    </row>
    <row r="529">
      <c r="J529" s="15"/>
      <c r="V529" s="15"/>
      <c r="W529" s="15"/>
    </row>
    <row r="530">
      <c r="J530" s="15"/>
      <c r="V530" s="15"/>
      <c r="W530" s="15"/>
    </row>
    <row r="531">
      <c r="J531" s="15"/>
      <c r="V531" s="15"/>
      <c r="W531" s="15"/>
    </row>
    <row r="532">
      <c r="J532" s="15"/>
      <c r="V532" s="15"/>
      <c r="W532" s="15"/>
    </row>
    <row r="533">
      <c r="J533" s="15"/>
      <c r="V533" s="15"/>
      <c r="W533" s="15"/>
    </row>
    <row r="534">
      <c r="J534" s="15"/>
      <c r="V534" s="15"/>
      <c r="W534" s="15"/>
    </row>
    <row r="535">
      <c r="J535" s="15"/>
      <c r="V535" s="15"/>
      <c r="W535" s="15"/>
    </row>
    <row r="536">
      <c r="J536" s="15"/>
      <c r="V536" s="15"/>
      <c r="W536" s="15"/>
    </row>
    <row r="537">
      <c r="J537" s="15"/>
      <c r="V537" s="15"/>
      <c r="W537" s="15"/>
    </row>
    <row r="538">
      <c r="J538" s="15"/>
      <c r="V538" s="15"/>
      <c r="W538" s="15"/>
    </row>
    <row r="539">
      <c r="J539" s="15"/>
      <c r="V539" s="15"/>
      <c r="W539" s="15"/>
    </row>
    <row r="540">
      <c r="J540" s="15"/>
      <c r="V540" s="15"/>
      <c r="W540" s="15"/>
    </row>
    <row r="541">
      <c r="J541" s="15"/>
      <c r="V541" s="15"/>
      <c r="W541" s="15"/>
    </row>
    <row r="542">
      <c r="J542" s="15"/>
      <c r="V542" s="15"/>
      <c r="W542" s="15"/>
    </row>
    <row r="543">
      <c r="J543" s="15"/>
      <c r="V543" s="15"/>
      <c r="W543" s="15"/>
    </row>
    <row r="544">
      <c r="J544" s="15"/>
      <c r="V544" s="15"/>
      <c r="W544" s="15"/>
    </row>
    <row r="545">
      <c r="J545" s="15"/>
      <c r="V545" s="15"/>
      <c r="W545" s="15"/>
    </row>
    <row r="546">
      <c r="J546" s="15"/>
      <c r="V546" s="15"/>
      <c r="W546" s="15"/>
    </row>
    <row r="547">
      <c r="J547" s="15"/>
      <c r="V547" s="15"/>
      <c r="W547" s="15"/>
    </row>
    <row r="548">
      <c r="J548" s="15"/>
      <c r="V548" s="15"/>
      <c r="W548" s="15"/>
    </row>
    <row r="549">
      <c r="J549" s="15"/>
      <c r="V549" s="15"/>
      <c r="W549" s="15"/>
    </row>
    <row r="550">
      <c r="J550" s="15"/>
      <c r="V550" s="15"/>
      <c r="W550" s="15"/>
    </row>
    <row r="551">
      <c r="J551" s="15"/>
      <c r="V551" s="15"/>
      <c r="W551" s="15"/>
    </row>
    <row r="552">
      <c r="J552" s="15"/>
      <c r="V552" s="15"/>
      <c r="W552" s="15"/>
    </row>
    <row r="553">
      <c r="J553" s="15"/>
      <c r="V553" s="15"/>
      <c r="W553" s="15"/>
    </row>
    <row r="554">
      <c r="J554" s="15"/>
      <c r="V554" s="15"/>
      <c r="W554" s="15"/>
    </row>
    <row r="555">
      <c r="J555" s="15"/>
      <c r="V555" s="15"/>
      <c r="W555" s="15"/>
    </row>
    <row r="556">
      <c r="J556" s="15"/>
      <c r="V556" s="15"/>
      <c r="W556" s="15"/>
    </row>
    <row r="557">
      <c r="J557" s="15"/>
      <c r="V557" s="15"/>
      <c r="W557" s="15"/>
    </row>
    <row r="558">
      <c r="J558" s="15"/>
      <c r="V558" s="15"/>
      <c r="W558" s="15"/>
    </row>
    <row r="559">
      <c r="J559" s="15"/>
      <c r="V559" s="15"/>
      <c r="W559" s="15"/>
    </row>
    <row r="560">
      <c r="J560" s="15"/>
      <c r="V560" s="15"/>
      <c r="W560" s="15"/>
    </row>
    <row r="561">
      <c r="J561" s="15"/>
      <c r="V561" s="15"/>
      <c r="W561" s="15"/>
    </row>
    <row r="562">
      <c r="J562" s="15"/>
      <c r="V562" s="15"/>
      <c r="W562" s="15"/>
    </row>
    <row r="563">
      <c r="J563" s="15"/>
      <c r="V563" s="15"/>
      <c r="W563" s="15"/>
    </row>
    <row r="564">
      <c r="J564" s="15"/>
      <c r="V564" s="15"/>
      <c r="W564" s="15"/>
    </row>
    <row r="565">
      <c r="J565" s="15"/>
      <c r="V565" s="15"/>
      <c r="W565" s="15"/>
    </row>
    <row r="566">
      <c r="J566" s="15"/>
      <c r="V566" s="15"/>
      <c r="W566" s="15"/>
    </row>
    <row r="567">
      <c r="J567" s="15"/>
      <c r="V567" s="15"/>
      <c r="W567" s="15"/>
    </row>
    <row r="568">
      <c r="J568" s="15"/>
      <c r="V568" s="15"/>
      <c r="W568" s="15"/>
    </row>
    <row r="569">
      <c r="J569" s="15"/>
      <c r="V569" s="15"/>
      <c r="W569" s="15"/>
    </row>
    <row r="570">
      <c r="J570" s="15"/>
      <c r="V570" s="15"/>
      <c r="W570" s="15"/>
    </row>
    <row r="571">
      <c r="J571" s="15"/>
      <c r="V571" s="15"/>
      <c r="W571" s="15"/>
    </row>
    <row r="572">
      <c r="J572" s="15"/>
      <c r="V572" s="15"/>
      <c r="W572" s="15"/>
    </row>
    <row r="573">
      <c r="J573" s="15"/>
      <c r="V573" s="15"/>
      <c r="W573" s="15"/>
    </row>
    <row r="574">
      <c r="J574" s="15"/>
      <c r="V574" s="15"/>
      <c r="W574" s="15"/>
    </row>
    <row r="575">
      <c r="J575" s="15"/>
      <c r="V575" s="15"/>
      <c r="W575" s="15"/>
    </row>
    <row r="576">
      <c r="J576" s="15"/>
      <c r="V576" s="15"/>
      <c r="W576" s="15"/>
    </row>
    <row r="577">
      <c r="J577" s="15"/>
      <c r="V577" s="15"/>
      <c r="W577" s="15"/>
    </row>
    <row r="578">
      <c r="J578" s="15"/>
      <c r="V578" s="15"/>
      <c r="W578" s="15"/>
    </row>
    <row r="579">
      <c r="J579" s="15"/>
      <c r="V579" s="15"/>
      <c r="W579" s="15"/>
    </row>
    <row r="580">
      <c r="J580" s="15"/>
      <c r="V580" s="15"/>
      <c r="W580" s="15"/>
    </row>
    <row r="581">
      <c r="J581" s="15"/>
      <c r="V581" s="15"/>
      <c r="W581" s="15"/>
    </row>
    <row r="582">
      <c r="J582" s="15"/>
      <c r="V582" s="15"/>
      <c r="W582" s="15"/>
    </row>
    <row r="583">
      <c r="J583" s="15"/>
      <c r="V583" s="15"/>
      <c r="W583" s="15"/>
    </row>
    <row r="584">
      <c r="J584" s="15"/>
      <c r="V584" s="15"/>
      <c r="W584" s="15"/>
    </row>
    <row r="585">
      <c r="J585" s="15"/>
      <c r="V585" s="15"/>
      <c r="W585" s="15"/>
    </row>
    <row r="586">
      <c r="J586" s="15"/>
      <c r="V586" s="15"/>
      <c r="W586" s="15"/>
    </row>
    <row r="587">
      <c r="J587" s="15"/>
      <c r="V587" s="15"/>
      <c r="W587" s="15"/>
    </row>
    <row r="588">
      <c r="J588" s="15"/>
      <c r="V588" s="15"/>
      <c r="W588" s="15"/>
    </row>
    <row r="589">
      <c r="J589" s="15"/>
      <c r="V589" s="15"/>
      <c r="W589" s="15"/>
    </row>
    <row r="590">
      <c r="J590" s="15"/>
      <c r="V590" s="15"/>
      <c r="W590" s="15"/>
    </row>
    <row r="591">
      <c r="J591" s="15"/>
      <c r="V591" s="15"/>
      <c r="W591" s="15"/>
    </row>
    <row r="592">
      <c r="J592" s="15"/>
      <c r="V592" s="15"/>
      <c r="W592" s="15"/>
    </row>
    <row r="593">
      <c r="J593" s="15"/>
      <c r="V593" s="15"/>
      <c r="W593" s="15"/>
    </row>
    <row r="594">
      <c r="J594" s="15"/>
      <c r="V594" s="15"/>
      <c r="W594" s="15"/>
    </row>
    <row r="595">
      <c r="J595" s="15"/>
      <c r="V595" s="15"/>
      <c r="W595" s="15"/>
    </row>
    <row r="596">
      <c r="J596" s="15"/>
      <c r="V596" s="15"/>
      <c r="W596" s="15"/>
    </row>
    <row r="597">
      <c r="J597" s="15"/>
      <c r="V597" s="15"/>
      <c r="W597" s="15"/>
    </row>
    <row r="598">
      <c r="J598" s="15"/>
      <c r="V598" s="15"/>
      <c r="W598" s="15"/>
    </row>
    <row r="599">
      <c r="J599" s="15"/>
      <c r="V599" s="15"/>
      <c r="W599" s="15"/>
    </row>
    <row r="600">
      <c r="J600" s="15"/>
      <c r="V600" s="15"/>
      <c r="W600" s="15"/>
    </row>
    <row r="601">
      <c r="J601" s="15"/>
      <c r="V601" s="15"/>
      <c r="W601" s="15"/>
    </row>
    <row r="602">
      <c r="J602" s="15"/>
      <c r="V602" s="15"/>
      <c r="W602" s="15"/>
    </row>
    <row r="603">
      <c r="J603" s="15"/>
      <c r="V603" s="15"/>
      <c r="W603" s="15"/>
    </row>
    <row r="604">
      <c r="J604" s="15"/>
      <c r="V604" s="15"/>
      <c r="W604" s="15"/>
    </row>
    <row r="605">
      <c r="J605" s="15"/>
      <c r="V605" s="15"/>
      <c r="W605" s="15"/>
    </row>
    <row r="606">
      <c r="J606" s="15"/>
      <c r="V606" s="15"/>
      <c r="W606" s="15"/>
    </row>
    <row r="607">
      <c r="J607" s="15"/>
      <c r="V607" s="15"/>
      <c r="W607" s="15"/>
    </row>
    <row r="608">
      <c r="J608" s="15"/>
      <c r="V608" s="15"/>
      <c r="W608" s="15"/>
    </row>
    <row r="609">
      <c r="J609" s="15"/>
      <c r="V609" s="15"/>
      <c r="W609" s="15"/>
    </row>
    <row r="610">
      <c r="J610" s="15"/>
      <c r="V610" s="15"/>
      <c r="W610" s="15"/>
    </row>
    <row r="611">
      <c r="J611" s="15"/>
      <c r="V611" s="15"/>
      <c r="W611" s="15"/>
    </row>
    <row r="612">
      <c r="J612" s="15"/>
      <c r="V612" s="15"/>
      <c r="W612" s="15"/>
    </row>
    <row r="613">
      <c r="J613" s="15"/>
      <c r="V613" s="15"/>
      <c r="W613" s="15"/>
    </row>
    <row r="614">
      <c r="J614" s="15"/>
      <c r="V614" s="15"/>
      <c r="W614" s="15"/>
    </row>
    <row r="615">
      <c r="J615" s="15"/>
      <c r="V615" s="15"/>
      <c r="W615" s="15"/>
    </row>
    <row r="616">
      <c r="J616" s="15"/>
      <c r="V616" s="15"/>
      <c r="W616" s="15"/>
    </row>
    <row r="617">
      <c r="J617" s="15"/>
      <c r="V617" s="15"/>
      <c r="W617" s="15"/>
    </row>
    <row r="618">
      <c r="J618" s="15"/>
      <c r="V618" s="15"/>
      <c r="W618" s="15"/>
    </row>
    <row r="619">
      <c r="J619" s="15"/>
      <c r="V619" s="15"/>
      <c r="W619" s="15"/>
    </row>
    <row r="620">
      <c r="J620" s="15"/>
      <c r="V620" s="15"/>
      <c r="W620" s="15"/>
    </row>
    <row r="621">
      <c r="J621" s="15"/>
      <c r="V621" s="15"/>
      <c r="W621" s="15"/>
    </row>
    <row r="622">
      <c r="J622" s="15"/>
      <c r="V622" s="15"/>
      <c r="W622" s="15"/>
    </row>
    <row r="623">
      <c r="J623" s="15"/>
      <c r="V623" s="15"/>
      <c r="W623" s="15"/>
    </row>
    <row r="624">
      <c r="J624" s="15"/>
      <c r="V624" s="15"/>
      <c r="W624" s="15"/>
    </row>
    <row r="625">
      <c r="J625" s="15"/>
      <c r="V625" s="15"/>
      <c r="W625" s="15"/>
    </row>
    <row r="626">
      <c r="J626" s="15"/>
      <c r="V626" s="15"/>
      <c r="W626" s="15"/>
    </row>
    <row r="627">
      <c r="J627" s="15"/>
      <c r="V627" s="15"/>
      <c r="W627" s="15"/>
    </row>
    <row r="628">
      <c r="J628" s="15"/>
      <c r="V628" s="15"/>
      <c r="W628" s="15"/>
    </row>
    <row r="629">
      <c r="J629" s="15"/>
      <c r="V629" s="15"/>
      <c r="W629" s="15"/>
    </row>
    <row r="630">
      <c r="J630" s="15"/>
      <c r="V630" s="15"/>
      <c r="W630" s="15"/>
    </row>
    <row r="631">
      <c r="J631" s="15"/>
      <c r="V631" s="15"/>
      <c r="W631" s="15"/>
    </row>
    <row r="632">
      <c r="J632" s="15"/>
      <c r="V632" s="15"/>
      <c r="W632" s="15"/>
    </row>
    <row r="633">
      <c r="J633" s="15"/>
      <c r="V633" s="15"/>
      <c r="W633" s="15"/>
    </row>
    <row r="634">
      <c r="J634" s="15"/>
      <c r="V634" s="15"/>
      <c r="W634" s="15"/>
    </row>
    <row r="635">
      <c r="J635" s="15"/>
      <c r="V635" s="15"/>
      <c r="W635" s="15"/>
    </row>
    <row r="636">
      <c r="J636" s="15"/>
      <c r="V636" s="15"/>
      <c r="W636" s="15"/>
    </row>
    <row r="637">
      <c r="J637" s="15"/>
      <c r="V637" s="15"/>
      <c r="W637" s="15"/>
    </row>
    <row r="638">
      <c r="J638" s="15"/>
      <c r="V638" s="15"/>
      <c r="W638" s="15"/>
    </row>
    <row r="639">
      <c r="J639" s="15"/>
      <c r="V639" s="15"/>
      <c r="W639" s="15"/>
    </row>
    <row r="640">
      <c r="J640" s="15"/>
      <c r="V640" s="15"/>
      <c r="W640" s="15"/>
    </row>
    <row r="641">
      <c r="J641" s="15"/>
      <c r="V641" s="15"/>
      <c r="W641" s="15"/>
    </row>
    <row r="642">
      <c r="J642" s="15"/>
      <c r="V642" s="15"/>
      <c r="W642" s="15"/>
    </row>
    <row r="643">
      <c r="J643" s="15"/>
      <c r="V643" s="15"/>
      <c r="W643" s="15"/>
    </row>
    <row r="644">
      <c r="J644" s="15"/>
      <c r="V644" s="15"/>
      <c r="W644" s="15"/>
    </row>
    <row r="645">
      <c r="J645" s="15"/>
      <c r="V645" s="15"/>
      <c r="W645" s="15"/>
    </row>
    <row r="646">
      <c r="J646" s="15"/>
      <c r="V646" s="15"/>
      <c r="W646" s="15"/>
    </row>
    <row r="647">
      <c r="J647" s="15"/>
      <c r="V647" s="15"/>
      <c r="W647" s="15"/>
    </row>
    <row r="648">
      <c r="J648" s="15"/>
      <c r="V648" s="15"/>
      <c r="W648" s="15"/>
    </row>
    <row r="649">
      <c r="J649" s="15"/>
      <c r="V649" s="15"/>
      <c r="W649" s="15"/>
    </row>
    <row r="650">
      <c r="J650" s="15"/>
      <c r="V650" s="15"/>
      <c r="W650" s="15"/>
    </row>
    <row r="651">
      <c r="J651" s="15"/>
      <c r="V651" s="15"/>
      <c r="W651" s="15"/>
    </row>
    <row r="652">
      <c r="J652" s="15"/>
      <c r="V652" s="15"/>
      <c r="W652" s="15"/>
    </row>
    <row r="653">
      <c r="J653" s="15"/>
      <c r="V653" s="15"/>
      <c r="W653" s="15"/>
    </row>
    <row r="654">
      <c r="J654" s="15"/>
      <c r="V654" s="15"/>
      <c r="W654" s="15"/>
    </row>
    <row r="655">
      <c r="J655" s="15"/>
      <c r="V655" s="15"/>
      <c r="W655" s="15"/>
    </row>
    <row r="656">
      <c r="J656" s="15"/>
      <c r="V656" s="15"/>
      <c r="W656" s="15"/>
    </row>
    <row r="657">
      <c r="J657" s="15"/>
      <c r="V657" s="15"/>
      <c r="W657" s="15"/>
    </row>
    <row r="658">
      <c r="J658" s="15"/>
      <c r="V658" s="15"/>
      <c r="W658" s="15"/>
    </row>
    <row r="659">
      <c r="J659" s="15"/>
      <c r="V659" s="15"/>
      <c r="W659" s="15"/>
    </row>
    <row r="660">
      <c r="J660" s="15"/>
      <c r="V660" s="15"/>
      <c r="W660" s="15"/>
    </row>
    <row r="661">
      <c r="J661" s="15"/>
      <c r="V661" s="15"/>
      <c r="W661" s="15"/>
    </row>
    <row r="662">
      <c r="J662" s="15"/>
      <c r="V662" s="15"/>
      <c r="W662" s="15"/>
    </row>
    <row r="663">
      <c r="J663" s="15"/>
      <c r="V663" s="15"/>
      <c r="W663" s="15"/>
    </row>
    <row r="664">
      <c r="J664" s="15"/>
      <c r="V664" s="15"/>
      <c r="W664" s="15"/>
    </row>
    <row r="665">
      <c r="J665" s="15"/>
      <c r="V665" s="15"/>
      <c r="W665" s="15"/>
    </row>
    <row r="666">
      <c r="J666" s="15"/>
      <c r="V666" s="15"/>
      <c r="W666" s="15"/>
    </row>
    <row r="667">
      <c r="J667" s="15"/>
      <c r="V667" s="15"/>
      <c r="W667" s="15"/>
    </row>
    <row r="668">
      <c r="J668" s="15"/>
      <c r="V668" s="15"/>
      <c r="W668" s="15"/>
    </row>
    <row r="669">
      <c r="J669" s="15"/>
      <c r="V669" s="15"/>
      <c r="W669" s="15"/>
    </row>
    <row r="670">
      <c r="J670" s="15"/>
      <c r="V670" s="15"/>
      <c r="W670" s="15"/>
    </row>
    <row r="671">
      <c r="J671" s="15"/>
      <c r="V671" s="15"/>
      <c r="W671" s="15"/>
    </row>
    <row r="672">
      <c r="J672" s="15"/>
      <c r="V672" s="15"/>
      <c r="W672" s="15"/>
    </row>
    <row r="673">
      <c r="J673" s="15"/>
      <c r="V673" s="15"/>
      <c r="W673" s="15"/>
    </row>
    <row r="674">
      <c r="J674" s="15"/>
      <c r="V674" s="15"/>
      <c r="W674" s="15"/>
    </row>
    <row r="675">
      <c r="J675" s="15"/>
      <c r="V675" s="15"/>
      <c r="W675" s="15"/>
    </row>
    <row r="676">
      <c r="J676" s="15"/>
      <c r="V676" s="15"/>
      <c r="W676" s="15"/>
    </row>
    <row r="677">
      <c r="J677" s="15"/>
      <c r="V677" s="15"/>
      <c r="W677" s="15"/>
    </row>
    <row r="678">
      <c r="J678" s="15"/>
      <c r="V678" s="15"/>
      <c r="W678" s="15"/>
    </row>
    <row r="679">
      <c r="J679" s="15"/>
      <c r="V679" s="15"/>
      <c r="W679" s="15"/>
    </row>
    <row r="680">
      <c r="J680" s="15"/>
      <c r="V680" s="15"/>
      <c r="W680" s="15"/>
    </row>
    <row r="681">
      <c r="J681" s="15"/>
      <c r="V681" s="15"/>
      <c r="W681" s="15"/>
    </row>
    <row r="682">
      <c r="J682" s="15"/>
      <c r="V682" s="15"/>
      <c r="W682" s="15"/>
    </row>
    <row r="683">
      <c r="J683" s="15"/>
      <c r="V683" s="15"/>
      <c r="W683" s="15"/>
    </row>
    <row r="684">
      <c r="J684" s="15"/>
      <c r="V684" s="15"/>
      <c r="W684" s="15"/>
    </row>
    <row r="685">
      <c r="J685" s="15"/>
      <c r="V685" s="15"/>
      <c r="W685" s="15"/>
    </row>
    <row r="686">
      <c r="J686" s="15"/>
      <c r="V686" s="15"/>
      <c r="W686" s="15"/>
    </row>
    <row r="687">
      <c r="J687" s="15"/>
      <c r="V687" s="15"/>
      <c r="W687" s="15"/>
    </row>
    <row r="688">
      <c r="J688" s="15"/>
      <c r="V688" s="15"/>
      <c r="W688" s="15"/>
    </row>
    <row r="689">
      <c r="J689" s="15"/>
      <c r="V689" s="15"/>
      <c r="W689" s="15"/>
    </row>
    <row r="690">
      <c r="J690" s="15"/>
      <c r="V690" s="15"/>
      <c r="W690" s="15"/>
    </row>
    <row r="691">
      <c r="J691" s="15"/>
      <c r="V691" s="15"/>
      <c r="W691" s="15"/>
    </row>
    <row r="692">
      <c r="J692" s="15"/>
      <c r="V692" s="15"/>
      <c r="W692" s="15"/>
    </row>
    <row r="693">
      <c r="J693" s="15"/>
      <c r="V693" s="15"/>
      <c r="W693" s="15"/>
    </row>
    <row r="694">
      <c r="J694" s="15"/>
      <c r="V694" s="15"/>
      <c r="W694" s="15"/>
    </row>
    <row r="695">
      <c r="J695" s="15"/>
      <c r="V695" s="15"/>
      <c r="W695" s="15"/>
    </row>
    <row r="696">
      <c r="J696" s="15"/>
      <c r="V696" s="15"/>
      <c r="W696" s="15"/>
    </row>
    <row r="697">
      <c r="J697" s="15"/>
      <c r="V697" s="15"/>
      <c r="W697" s="15"/>
    </row>
    <row r="698">
      <c r="J698" s="15"/>
      <c r="V698" s="15"/>
      <c r="W698" s="15"/>
    </row>
    <row r="699">
      <c r="J699" s="15"/>
      <c r="V699" s="15"/>
      <c r="W699" s="15"/>
    </row>
    <row r="700">
      <c r="J700" s="15"/>
      <c r="V700" s="15"/>
      <c r="W700" s="15"/>
    </row>
    <row r="701">
      <c r="J701" s="15"/>
      <c r="V701" s="15"/>
      <c r="W701" s="15"/>
    </row>
    <row r="702">
      <c r="J702" s="15"/>
      <c r="V702" s="15"/>
      <c r="W702" s="15"/>
    </row>
    <row r="703">
      <c r="J703" s="15"/>
      <c r="V703" s="15"/>
      <c r="W703" s="15"/>
    </row>
    <row r="704">
      <c r="J704" s="15"/>
      <c r="V704" s="15"/>
      <c r="W704" s="15"/>
    </row>
    <row r="705">
      <c r="J705" s="15"/>
      <c r="V705" s="15"/>
      <c r="W705" s="15"/>
    </row>
    <row r="706">
      <c r="J706" s="15"/>
      <c r="V706" s="15"/>
      <c r="W706" s="15"/>
    </row>
    <row r="707">
      <c r="J707" s="15"/>
      <c r="V707" s="15"/>
      <c r="W707" s="15"/>
    </row>
    <row r="708">
      <c r="J708" s="15"/>
      <c r="V708" s="15"/>
      <c r="W708" s="15"/>
    </row>
    <row r="709">
      <c r="J709" s="15"/>
      <c r="V709" s="15"/>
      <c r="W709" s="15"/>
    </row>
    <row r="710">
      <c r="J710" s="15"/>
      <c r="V710" s="15"/>
      <c r="W710" s="15"/>
    </row>
    <row r="711">
      <c r="J711" s="15"/>
      <c r="V711" s="15"/>
      <c r="W711" s="15"/>
    </row>
    <row r="712">
      <c r="J712" s="15"/>
      <c r="V712" s="15"/>
      <c r="W712" s="15"/>
    </row>
    <row r="713">
      <c r="J713" s="15"/>
      <c r="V713" s="15"/>
      <c r="W713" s="15"/>
    </row>
    <row r="714">
      <c r="J714" s="15"/>
      <c r="V714" s="15"/>
      <c r="W714" s="15"/>
    </row>
    <row r="715">
      <c r="J715" s="15"/>
      <c r="V715" s="15"/>
      <c r="W715" s="15"/>
    </row>
    <row r="716">
      <c r="J716" s="15"/>
      <c r="V716" s="15"/>
      <c r="W716" s="15"/>
    </row>
    <row r="717">
      <c r="J717" s="15"/>
      <c r="V717" s="15"/>
      <c r="W717" s="15"/>
    </row>
    <row r="718">
      <c r="J718" s="15"/>
      <c r="V718" s="15"/>
      <c r="W718" s="15"/>
    </row>
    <row r="719">
      <c r="J719" s="15"/>
      <c r="V719" s="15"/>
      <c r="W719" s="15"/>
    </row>
    <row r="720">
      <c r="J720" s="15"/>
      <c r="V720" s="15"/>
      <c r="W720" s="15"/>
    </row>
    <row r="721">
      <c r="J721" s="15"/>
      <c r="V721" s="15"/>
      <c r="W721" s="15"/>
    </row>
    <row r="722">
      <c r="J722" s="15"/>
      <c r="V722" s="15"/>
      <c r="W722" s="15"/>
    </row>
    <row r="723">
      <c r="J723" s="15"/>
      <c r="V723" s="15"/>
      <c r="W723" s="15"/>
    </row>
    <row r="724">
      <c r="J724" s="15"/>
      <c r="V724" s="15"/>
      <c r="W724" s="15"/>
    </row>
    <row r="725">
      <c r="J725" s="15"/>
      <c r="V725" s="15"/>
      <c r="W725" s="15"/>
    </row>
    <row r="726">
      <c r="J726" s="15"/>
      <c r="V726" s="15"/>
      <c r="W726" s="15"/>
    </row>
    <row r="727">
      <c r="J727" s="15"/>
      <c r="V727" s="15"/>
      <c r="W727" s="15"/>
    </row>
    <row r="728">
      <c r="J728" s="15"/>
      <c r="V728" s="15"/>
      <c r="W728" s="15"/>
    </row>
    <row r="729">
      <c r="J729" s="15"/>
      <c r="V729" s="15"/>
      <c r="W729" s="15"/>
    </row>
    <row r="730">
      <c r="J730" s="15"/>
      <c r="V730" s="15"/>
      <c r="W730" s="15"/>
    </row>
    <row r="731">
      <c r="J731" s="15"/>
      <c r="V731" s="15"/>
      <c r="W731" s="15"/>
    </row>
    <row r="732">
      <c r="J732" s="15"/>
      <c r="V732" s="15"/>
      <c r="W732" s="15"/>
    </row>
    <row r="733">
      <c r="J733" s="15"/>
      <c r="V733" s="15"/>
      <c r="W733" s="15"/>
    </row>
    <row r="734">
      <c r="J734" s="15"/>
      <c r="V734" s="15"/>
      <c r="W734" s="15"/>
    </row>
    <row r="735">
      <c r="J735" s="15"/>
      <c r="V735" s="15"/>
      <c r="W735" s="15"/>
    </row>
    <row r="736">
      <c r="J736" s="15"/>
      <c r="V736" s="15"/>
      <c r="W736" s="15"/>
    </row>
    <row r="737">
      <c r="J737" s="15"/>
      <c r="V737" s="15"/>
      <c r="W737" s="15"/>
    </row>
    <row r="738">
      <c r="J738" s="15"/>
      <c r="V738" s="15"/>
      <c r="W738" s="15"/>
    </row>
    <row r="739">
      <c r="J739" s="15"/>
      <c r="V739" s="15"/>
      <c r="W739" s="15"/>
    </row>
    <row r="740">
      <c r="J740" s="15"/>
      <c r="V740" s="15"/>
      <c r="W740" s="15"/>
    </row>
    <row r="741">
      <c r="J741" s="15"/>
      <c r="V741" s="15"/>
      <c r="W741" s="15"/>
    </row>
    <row r="742">
      <c r="J742" s="15"/>
      <c r="V742" s="15"/>
      <c r="W742" s="15"/>
    </row>
    <row r="743">
      <c r="J743" s="15"/>
      <c r="V743" s="15"/>
      <c r="W743" s="15"/>
    </row>
    <row r="744">
      <c r="J744" s="15"/>
      <c r="V744" s="15"/>
      <c r="W744" s="15"/>
    </row>
    <row r="745">
      <c r="J745" s="15"/>
      <c r="V745" s="15"/>
      <c r="W745" s="15"/>
    </row>
    <row r="746">
      <c r="J746" s="15"/>
      <c r="V746" s="15"/>
      <c r="W746" s="15"/>
    </row>
    <row r="747">
      <c r="J747" s="15"/>
      <c r="V747" s="15"/>
      <c r="W747" s="15"/>
    </row>
    <row r="748">
      <c r="J748" s="15"/>
      <c r="V748" s="15"/>
      <c r="W748" s="15"/>
    </row>
    <row r="749">
      <c r="J749" s="15"/>
      <c r="V749" s="15"/>
      <c r="W749" s="15"/>
    </row>
    <row r="750">
      <c r="J750" s="15"/>
      <c r="V750" s="15"/>
      <c r="W750" s="15"/>
    </row>
    <row r="751">
      <c r="J751" s="15"/>
      <c r="V751" s="15"/>
      <c r="W751" s="15"/>
    </row>
    <row r="752">
      <c r="J752" s="15"/>
      <c r="V752" s="15"/>
      <c r="W752" s="15"/>
    </row>
    <row r="753">
      <c r="J753" s="15"/>
      <c r="V753" s="15"/>
      <c r="W753" s="15"/>
    </row>
    <row r="754">
      <c r="J754" s="15"/>
      <c r="V754" s="15"/>
      <c r="W754" s="15"/>
    </row>
    <row r="755">
      <c r="J755" s="15"/>
      <c r="V755" s="15"/>
      <c r="W755" s="15"/>
    </row>
    <row r="756">
      <c r="J756" s="15"/>
      <c r="V756" s="15"/>
      <c r="W756" s="15"/>
    </row>
    <row r="757">
      <c r="J757" s="15"/>
      <c r="V757" s="15"/>
      <c r="W757" s="15"/>
    </row>
    <row r="758">
      <c r="J758" s="15"/>
      <c r="V758" s="15"/>
      <c r="W758" s="15"/>
    </row>
    <row r="759">
      <c r="J759" s="15"/>
      <c r="V759" s="15"/>
      <c r="W759" s="15"/>
    </row>
    <row r="760">
      <c r="J760" s="15"/>
      <c r="V760" s="15"/>
      <c r="W760" s="15"/>
    </row>
    <row r="761">
      <c r="J761" s="15"/>
      <c r="V761" s="15"/>
      <c r="W761" s="15"/>
    </row>
    <row r="762">
      <c r="J762" s="15"/>
      <c r="V762" s="15"/>
      <c r="W762" s="15"/>
    </row>
    <row r="763">
      <c r="J763" s="15"/>
      <c r="V763" s="15"/>
      <c r="W763" s="15"/>
    </row>
    <row r="764">
      <c r="J764" s="15"/>
      <c r="V764" s="15"/>
      <c r="W764" s="15"/>
    </row>
    <row r="765">
      <c r="J765" s="15"/>
      <c r="V765" s="15"/>
      <c r="W765" s="15"/>
    </row>
    <row r="766">
      <c r="J766" s="15"/>
      <c r="V766" s="15"/>
      <c r="W766" s="15"/>
    </row>
    <row r="767">
      <c r="J767" s="15"/>
      <c r="V767" s="15"/>
      <c r="W767" s="15"/>
    </row>
    <row r="768">
      <c r="J768" s="15"/>
      <c r="V768" s="15"/>
      <c r="W768" s="15"/>
    </row>
    <row r="769">
      <c r="J769" s="15"/>
      <c r="V769" s="15"/>
      <c r="W769" s="15"/>
    </row>
    <row r="770">
      <c r="J770" s="15"/>
      <c r="V770" s="15"/>
      <c r="W770" s="15"/>
    </row>
    <row r="771">
      <c r="J771" s="15"/>
      <c r="V771" s="15"/>
      <c r="W771" s="15"/>
    </row>
    <row r="772">
      <c r="J772" s="15"/>
      <c r="V772" s="15"/>
      <c r="W772" s="15"/>
    </row>
    <row r="773">
      <c r="J773" s="15"/>
      <c r="V773" s="15"/>
      <c r="W773" s="15"/>
    </row>
    <row r="774">
      <c r="J774" s="15"/>
      <c r="V774" s="15"/>
      <c r="W774" s="15"/>
    </row>
    <row r="775">
      <c r="J775" s="15"/>
      <c r="V775" s="15"/>
      <c r="W775" s="15"/>
    </row>
    <row r="776">
      <c r="J776" s="15"/>
      <c r="V776" s="15"/>
      <c r="W776" s="15"/>
    </row>
    <row r="777">
      <c r="J777" s="15"/>
      <c r="V777" s="15"/>
      <c r="W777" s="15"/>
    </row>
    <row r="778">
      <c r="J778" s="15"/>
      <c r="V778" s="15"/>
      <c r="W778" s="15"/>
    </row>
    <row r="779">
      <c r="J779" s="15"/>
      <c r="V779" s="15"/>
      <c r="W779" s="15"/>
    </row>
    <row r="780">
      <c r="J780" s="15"/>
      <c r="V780" s="15"/>
      <c r="W780" s="15"/>
    </row>
    <row r="781">
      <c r="J781" s="15"/>
      <c r="V781" s="15"/>
      <c r="W781" s="15"/>
    </row>
    <row r="782">
      <c r="J782" s="15"/>
      <c r="V782" s="15"/>
      <c r="W782" s="15"/>
    </row>
    <row r="783">
      <c r="J783" s="15"/>
      <c r="V783" s="15"/>
      <c r="W783" s="15"/>
    </row>
    <row r="784">
      <c r="J784" s="15"/>
      <c r="V784" s="15"/>
      <c r="W784" s="15"/>
    </row>
    <row r="785">
      <c r="J785" s="15"/>
      <c r="V785" s="15"/>
      <c r="W785" s="15"/>
    </row>
    <row r="786">
      <c r="J786" s="15"/>
      <c r="V786" s="15"/>
      <c r="W786" s="15"/>
    </row>
    <row r="787">
      <c r="J787" s="15"/>
      <c r="V787" s="15"/>
      <c r="W787" s="15"/>
    </row>
    <row r="788">
      <c r="J788" s="15"/>
      <c r="V788" s="15"/>
      <c r="W788" s="15"/>
    </row>
    <row r="789">
      <c r="J789" s="15"/>
      <c r="V789" s="15"/>
      <c r="W789" s="15"/>
    </row>
    <row r="790">
      <c r="J790" s="15"/>
      <c r="V790" s="15"/>
      <c r="W790" s="15"/>
    </row>
    <row r="791">
      <c r="J791" s="15"/>
      <c r="V791" s="15"/>
      <c r="W791" s="15"/>
    </row>
    <row r="792">
      <c r="J792" s="15"/>
      <c r="V792" s="15"/>
      <c r="W792" s="15"/>
    </row>
    <row r="793">
      <c r="J793" s="15"/>
      <c r="V793" s="15"/>
      <c r="W793" s="15"/>
    </row>
    <row r="794">
      <c r="J794" s="15"/>
      <c r="V794" s="15"/>
      <c r="W794" s="15"/>
    </row>
    <row r="795">
      <c r="J795" s="15"/>
      <c r="V795" s="15"/>
      <c r="W795" s="15"/>
    </row>
    <row r="796">
      <c r="J796" s="15"/>
      <c r="V796" s="15"/>
      <c r="W796" s="15"/>
    </row>
    <row r="797">
      <c r="J797" s="15"/>
      <c r="V797" s="15"/>
      <c r="W797" s="15"/>
    </row>
    <row r="798">
      <c r="J798" s="15"/>
      <c r="V798" s="15"/>
      <c r="W798" s="15"/>
    </row>
    <row r="799">
      <c r="J799" s="15"/>
      <c r="V799" s="15"/>
      <c r="W799" s="15"/>
    </row>
    <row r="800">
      <c r="J800" s="15"/>
      <c r="V800" s="15"/>
      <c r="W800" s="15"/>
    </row>
    <row r="801">
      <c r="J801" s="15"/>
      <c r="V801" s="15"/>
      <c r="W801" s="15"/>
    </row>
    <row r="802">
      <c r="J802" s="15"/>
      <c r="V802" s="15"/>
      <c r="W802" s="15"/>
    </row>
    <row r="803">
      <c r="J803" s="15"/>
      <c r="V803" s="15"/>
      <c r="W803" s="15"/>
    </row>
    <row r="804">
      <c r="J804" s="15"/>
      <c r="V804" s="15"/>
      <c r="W804" s="15"/>
    </row>
    <row r="805">
      <c r="J805" s="15"/>
      <c r="V805" s="15"/>
      <c r="W805" s="15"/>
    </row>
    <row r="806">
      <c r="J806" s="15"/>
      <c r="V806" s="15"/>
      <c r="W806" s="15"/>
    </row>
    <row r="807">
      <c r="J807" s="15"/>
      <c r="V807" s="15"/>
      <c r="W807" s="15"/>
    </row>
    <row r="808">
      <c r="J808" s="15"/>
      <c r="V808" s="15"/>
      <c r="W808" s="15"/>
    </row>
    <row r="809">
      <c r="J809" s="15"/>
      <c r="V809" s="15"/>
      <c r="W809" s="15"/>
    </row>
    <row r="810">
      <c r="J810" s="15"/>
      <c r="V810" s="15"/>
      <c r="W810" s="15"/>
    </row>
    <row r="811">
      <c r="J811" s="15"/>
      <c r="V811" s="15"/>
      <c r="W811" s="15"/>
    </row>
    <row r="812">
      <c r="J812" s="15"/>
      <c r="V812" s="15"/>
      <c r="W812" s="15"/>
    </row>
    <row r="813">
      <c r="J813" s="15"/>
      <c r="V813" s="15"/>
      <c r="W813" s="15"/>
    </row>
    <row r="814">
      <c r="J814" s="15"/>
      <c r="V814" s="15"/>
      <c r="W814" s="15"/>
    </row>
    <row r="815">
      <c r="J815" s="15"/>
      <c r="V815" s="15"/>
      <c r="W815" s="15"/>
    </row>
    <row r="816">
      <c r="J816" s="15"/>
      <c r="V816" s="15"/>
      <c r="W816" s="15"/>
    </row>
    <row r="817">
      <c r="J817" s="15"/>
      <c r="V817" s="15"/>
      <c r="W817" s="15"/>
    </row>
    <row r="818">
      <c r="J818" s="15"/>
      <c r="V818" s="15"/>
      <c r="W818" s="15"/>
    </row>
    <row r="819">
      <c r="J819" s="15"/>
      <c r="V819" s="15"/>
      <c r="W819" s="15"/>
    </row>
    <row r="820">
      <c r="J820" s="15"/>
      <c r="V820" s="15"/>
      <c r="W820" s="15"/>
    </row>
    <row r="821">
      <c r="J821" s="15"/>
      <c r="V821" s="15"/>
      <c r="W821" s="15"/>
    </row>
    <row r="822">
      <c r="J822" s="15"/>
      <c r="V822" s="15"/>
      <c r="W822" s="15"/>
    </row>
    <row r="823">
      <c r="J823" s="15"/>
      <c r="V823" s="15"/>
      <c r="W823" s="15"/>
    </row>
    <row r="824">
      <c r="J824" s="15"/>
      <c r="V824" s="15"/>
      <c r="W824" s="15"/>
    </row>
    <row r="825">
      <c r="J825" s="15"/>
      <c r="V825" s="15"/>
      <c r="W825" s="15"/>
    </row>
    <row r="826">
      <c r="J826" s="15"/>
      <c r="V826" s="15"/>
      <c r="W826" s="15"/>
    </row>
    <row r="827">
      <c r="J827" s="15"/>
      <c r="V827" s="15"/>
      <c r="W827" s="15"/>
    </row>
    <row r="828">
      <c r="J828" s="15"/>
      <c r="V828" s="15"/>
      <c r="W828" s="15"/>
    </row>
    <row r="829">
      <c r="J829" s="15"/>
      <c r="V829" s="15"/>
      <c r="W829" s="15"/>
    </row>
    <row r="830">
      <c r="J830" s="15"/>
      <c r="V830" s="15"/>
      <c r="W830" s="15"/>
    </row>
    <row r="831">
      <c r="J831" s="15"/>
      <c r="V831" s="15"/>
      <c r="W831" s="15"/>
    </row>
    <row r="832">
      <c r="J832" s="15"/>
      <c r="V832" s="15"/>
      <c r="W832" s="15"/>
    </row>
    <row r="833">
      <c r="J833" s="15"/>
      <c r="V833" s="15"/>
      <c r="W833" s="15"/>
    </row>
    <row r="834">
      <c r="J834" s="15"/>
      <c r="V834" s="15"/>
      <c r="W834" s="15"/>
    </row>
    <row r="835">
      <c r="J835" s="15"/>
      <c r="V835" s="15"/>
      <c r="W835" s="15"/>
    </row>
    <row r="836">
      <c r="J836" s="15"/>
      <c r="V836" s="15"/>
      <c r="W836" s="15"/>
    </row>
    <row r="837">
      <c r="J837" s="15"/>
      <c r="V837" s="15"/>
      <c r="W837" s="15"/>
    </row>
    <row r="838">
      <c r="J838" s="15"/>
      <c r="V838" s="15"/>
      <c r="W838" s="15"/>
    </row>
    <row r="839">
      <c r="J839" s="15"/>
      <c r="V839" s="15"/>
      <c r="W839" s="15"/>
    </row>
    <row r="840">
      <c r="J840" s="15"/>
      <c r="V840" s="15"/>
      <c r="W840" s="15"/>
    </row>
    <row r="841">
      <c r="J841" s="15"/>
      <c r="V841" s="15"/>
      <c r="W841" s="15"/>
    </row>
    <row r="842">
      <c r="J842" s="15"/>
      <c r="V842" s="15"/>
      <c r="W842" s="15"/>
    </row>
    <row r="843">
      <c r="J843" s="15"/>
      <c r="V843" s="15"/>
      <c r="W843" s="15"/>
    </row>
    <row r="844">
      <c r="J844" s="15"/>
      <c r="V844" s="15"/>
      <c r="W844" s="15"/>
    </row>
    <row r="845">
      <c r="J845" s="15"/>
      <c r="V845" s="15"/>
      <c r="W845" s="15"/>
    </row>
    <row r="846">
      <c r="J846" s="15"/>
      <c r="V846" s="15"/>
      <c r="W846" s="15"/>
    </row>
    <row r="847">
      <c r="J847" s="15"/>
      <c r="V847" s="15"/>
      <c r="W847" s="15"/>
    </row>
    <row r="848">
      <c r="J848" s="15"/>
      <c r="V848" s="15"/>
      <c r="W848" s="15"/>
    </row>
    <row r="849">
      <c r="J849" s="15"/>
      <c r="V849" s="15"/>
      <c r="W849" s="15"/>
    </row>
    <row r="850">
      <c r="J850" s="15"/>
      <c r="V850" s="15"/>
      <c r="W850" s="15"/>
    </row>
    <row r="851">
      <c r="J851" s="15"/>
      <c r="V851" s="15"/>
      <c r="W851" s="15"/>
    </row>
    <row r="852">
      <c r="J852" s="15"/>
      <c r="V852" s="15"/>
      <c r="W852" s="15"/>
    </row>
    <row r="853">
      <c r="J853" s="15"/>
      <c r="V853" s="15"/>
      <c r="W853" s="15"/>
    </row>
    <row r="854">
      <c r="J854" s="15"/>
      <c r="V854" s="15"/>
      <c r="W854" s="15"/>
    </row>
    <row r="855">
      <c r="J855" s="15"/>
      <c r="V855" s="15"/>
      <c r="W855" s="15"/>
    </row>
    <row r="856">
      <c r="J856" s="15"/>
      <c r="V856" s="15"/>
      <c r="W856" s="15"/>
    </row>
    <row r="857">
      <c r="J857" s="15"/>
      <c r="V857" s="15"/>
      <c r="W857" s="15"/>
    </row>
    <row r="858">
      <c r="J858" s="15"/>
      <c r="V858" s="15"/>
      <c r="W858" s="15"/>
    </row>
    <row r="859">
      <c r="J859" s="15"/>
      <c r="V859" s="15"/>
      <c r="W859" s="15"/>
    </row>
    <row r="860">
      <c r="J860" s="15"/>
      <c r="V860" s="15"/>
      <c r="W860" s="15"/>
    </row>
    <row r="861">
      <c r="J861" s="15"/>
      <c r="V861" s="15"/>
      <c r="W861" s="15"/>
    </row>
    <row r="862">
      <c r="J862" s="15"/>
      <c r="V862" s="15"/>
      <c r="W862" s="15"/>
    </row>
    <row r="863">
      <c r="J863" s="15"/>
      <c r="V863" s="15"/>
      <c r="W863" s="15"/>
    </row>
    <row r="864">
      <c r="J864" s="15"/>
      <c r="V864" s="15"/>
      <c r="W864" s="15"/>
    </row>
    <row r="865">
      <c r="J865" s="15"/>
      <c r="V865" s="15"/>
      <c r="W865" s="15"/>
    </row>
    <row r="866">
      <c r="J866" s="15"/>
      <c r="V866" s="15"/>
      <c r="W866" s="15"/>
    </row>
    <row r="867">
      <c r="J867" s="15"/>
      <c r="V867" s="15"/>
      <c r="W867" s="15"/>
    </row>
    <row r="868">
      <c r="J868" s="15"/>
      <c r="V868" s="15"/>
      <c r="W868" s="15"/>
    </row>
    <row r="869">
      <c r="J869" s="15"/>
      <c r="V869" s="15"/>
      <c r="W869" s="15"/>
    </row>
    <row r="870">
      <c r="J870" s="15"/>
      <c r="V870" s="15"/>
      <c r="W870" s="15"/>
    </row>
    <row r="871">
      <c r="J871" s="15"/>
      <c r="V871" s="15"/>
      <c r="W871" s="15"/>
    </row>
    <row r="872">
      <c r="J872" s="15"/>
      <c r="V872" s="15"/>
      <c r="W872" s="15"/>
    </row>
    <row r="873">
      <c r="J873" s="15"/>
      <c r="V873" s="15"/>
      <c r="W873" s="15"/>
    </row>
    <row r="874">
      <c r="J874" s="15"/>
      <c r="V874" s="15"/>
      <c r="W874" s="15"/>
    </row>
    <row r="875">
      <c r="J875" s="15"/>
      <c r="V875" s="15"/>
      <c r="W875" s="15"/>
    </row>
    <row r="876">
      <c r="J876" s="15"/>
      <c r="V876" s="15"/>
      <c r="W876" s="15"/>
    </row>
    <row r="877">
      <c r="J877" s="15"/>
      <c r="V877" s="15"/>
      <c r="W877" s="15"/>
    </row>
    <row r="878">
      <c r="J878" s="15"/>
      <c r="V878" s="15"/>
      <c r="W878" s="15"/>
    </row>
    <row r="879">
      <c r="J879" s="15"/>
      <c r="V879" s="15"/>
      <c r="W879" s="15"/>
    </row>
    <row r="880">
      <c r="J880" s="15"/>
      <c r="V880" s="15"/>
      <c r="W880" s="15"/>
    </row>
    <row r="881">
      <c r="J881" s="15"/>
      <c r="V881" s="15"/>
      <c r="W881" s="15"/>
    </row>
    <row r="882">
      <c r="J882" s="15"/>
      <c r="V882" s="15"/>
      <c r="W882" s="15"/>
    </row>
    <row r="883">
      <c r="J883" s="15"/>
      <c r="V883" s="15"/>
      <c r="W883" s="15"/>
    </row>
    <row r="884">
      <c r="J884" s="15"/>
      <c r="V884" s="15"/>
      <c r="W884" s="15"/>
    </row>
    <row r="885">
      <c r="J885" s="15"/>
      <c r="V885" s="15"/>
      <c r="W885" s="15"/>
    </row>
    <row r="886">
      <c r="J886" s="15"/>
      <c r="V886" s="15"/>
      <c r="W886" s="15"/>
    </row>
    <row r="887">
      <c r="J887" s="15"/>
      <c r="V887" s="15"/>
      <c r="W887" s="15"/>
    </row>
    <row r="888">
      <c r="J888" s="15"/>
      <c r="V888" s="15"/>
      <c r="W888" s="15"/>
    </row>
    <row r="889">
      <c r="J889" s="15"/>
      <c r="V889" s="15"/>
      <c r="W889" s="15"/>
    </row>
    <row r="890">
      <c r="J890" s="15"/>
      <c r="V890" s="15"/>
      <c r="W890" s="15"/>
    </row>
    <row r="891">
      <c r="J891" s="15"/>
      <c r="V891" s="15"/>
      <c r="W891" s="15"/>
    </row>
    <row r="892">
      <c r="J892" s="15"/>
      <c r="V892" s="15"/>
      <c r="W892" s="15"/>
    </row>
    <row r="893">
      <c r="J893" s="15"/>
      <c r="V893" s="15"/>
      <c r="W893" s="15"/>
    </row>
    <row r="894">
      <c r="J894" s="15"/>
      <c r="V894" s="15"/>
      <c r="W894" s="15"/>
    </row>
    <row r="895">
      <c r="J895" s="15"/>
      <c r="V895" s="15"/>
      <c r="W895" s="15"/>
    </row>
    <row r="896">
      <c r="J896" s="15"/>
      <c r="V896" s="15"/>
      <c r="W896" s="15"/>
    </row>
    <row r="897">
      <c r="J897" s="15"/>
      <c r="V897" s="15"/>
      <c r="W897" s="15"/>
    </row>
    <row r="898">
      <c r="J898" s="15"/>
      <c r="V898" s="15"/>
      <c r="W898" s="15"/>
    </row>
    <row r="899">
      <c r="J899" s="15"/>
      <c r="V899" s="15"/>
      <c r="W899" s="15"/>
    </row>
    <row r="900">
      <c r="J900" s="15"/>
      <c r="V900" s="15"/>
      <c r="W900" s="15"/>
    </row>
    <row r="901">
      <c r="J901" s="15"/>
      <c r="V901" s="15"/>
      <c r="W901" s="15"/>
    </row>
    <row r="902">
      <c r="J902" s="15"/>
      <c r="V902" s="15"/>
      <c r="W902" s="15"/>
    </row>
    <row r="903">
      <c r="J903" s="15"/>
      <c r="V903" s="15"/>
      <c r="W903" s="15"/>
    </row>
    <row r="904">
      <c r="J904" s="15"/>
      <c r="V904" s="15"/>
      <c r="W904" s="15"/>
    </row>
    <row r="905">
      <c r="J905" s="15"/>
      <c r="V905" s="15"/>
      <c r="W905" s="15"/>
    </row>
    <row r="906">
      <c r="J906" s="15"/>
      <c r="V906" s="15"/>
      <c r="W906" s="15"/>
    </row>
    <row r="907">
      <c r="J907" s="15"/>
      <c r="V907" s="15"/>
      <c r="W907" s="15"/>
    </row>
    <row r="908">
      <c r="J908" s="15"/>
      <c r="V908" s="15"/>
      <c r="W908" s="15"/>
    </row>
    <row r="909">
      <c r="J909" s="15"/>
      <c r="V909" s="15"/>
      <c r="W909" s="15"/>
    </row>
    <row r="910">
      <c r="J910" s="15"/>
      <c r="V910" s="15"/>
      <c r="W910" s="15"/>
    </row>
    <row r="911">
      <c r="J911" s="15"/>
      <c r="V911" s="15"/>
      <c r="W911" s="15"/>
    </row>
    <row r="912">
      <c r="J912" s="15"/>
      <c r="V912" s="15"/>
      <c r="W912" s="15"/>
    </row>
    <row r="913">
      <c r="J913" s="15"/>
      <c r="V913" s="15"/>
      <c r="W913" s="15"/>
    </row>
    <row r="914">
      <c r="J914" s="15"/>
      <c r="V914" s="15"/>
      <c r="W914" s="15"/>
    </row>
    <row r="915">
      <c r="J915" s="15"/>
      <c r="V915" s="15"/>
      <c r="W915" s="15"/>
    </row>
    <row r="916">
      <c r="J916" s="15"/>
      <c r="V916" s="15"/>
      <c r="W916" s="15"/>
    </row>
    <row r="917">
      <c r="J917" s="15"/>
      <c r="V917" s="15"/>
      <c r="W917" s="15"/>
    </row>
    <row r="918">
      <c r="J918" s="15"/>
      <c r="V918" s="15"/>
      <c r="W918" s="15"/>
    </row>
    <row r="919">
      <c r="J919" s="15"/>
      <c r="V919" s="15"/>
      <c r="W919" s="15"/>
    </row>
    <row r="920">
      <c r="J920" s="15"/>
      <c r="V920" s="15"/>
      <c r="W920" s="15"/>
    </row>
    <row r="921">
      <c r="J921" s="15"/>
      <c r="V921" s="15"/>
      <c r="W921" s="15"/>
    </row>
    <row r="922">
      <c r="J922" s="15"/>
      <c r="V922" s="15"/>
      <c r="W922" s="15"/>
    </row>
    <row r="923">
      <c r="J923" s="15"/>
      <c r="V923" s="15"/>
      <c r="W923" s="15"/>
    </row>
    <row r="924">
      <c r="J924" s="15"/>
      <c r="V924" s="15"/>
      <c r="W924" s="15"/>
    </row>
    <row r="925">
      <c r="J925" s="15"/>
      <c r="V925" s="15"/>
      <c r="W925" s="15"/>
    </row>
    <row r="926">
      <c r="J926" s="15"/>
      <c r="V926" s="15"/>
      <c r="W926" s="15"/>
    </row>
    <row r="927">
      <c r="J927" s="15"/>
      <c r="V927" s="15"/>
      <c r="W927" s="15"/>
    </row>
    <row r="928">
      <c r="J928" s="15"/>
      <c r="V928" s="15"/>
      <c r="W928" s="15"/>
    </row>
    <row r="929">
      <c r="J929" s="15"/>
      <c r="V929" s="15"/>
      <c r="W929" s="15"/>
    </row>
    <row r="930">
      <c r="J930" s="15"/>
      <c r="V930" s="15"/>
      <c r="W930" s="15"/>
    </row>
    <row r="931">
      <c r="J931" s="15"/>
      <c r="V931" s="15"/>
      <c r="W931" s="15"/>
    </row>
    <row r="932">
      <c r="J932" s="15"/>
      <c r="V932" s="15"/>
      <c r="W932" s="15"/>
    </row>
    <row r="933">
      <c r="J933" s="15"/>
      <c r="V933" s="15"/>
      <c r="W933" s="15"/>
    </row>
    <row r="934">
      <c r="J934" s="15"/>
      <c r="V934" s="15"/>
      <c r="W934" s="15"/>
    </row>
    <row r="935">
      <c r="J935" s="15"/>
      <c r="V935" s="15"/>
      <c r="W935" s="15"/>
    </row>
    <row r="936">
      <c r="J936" s="15"/>
      <c r="V936" s="15"/>
      <c r="W936" s="15"/>
    </row>
    <row r="937">
      <c r="J937" s="15"/>
      <c r="V937" s="15"/>
      <c r="W937" s="15"/>
    </row>
    <row r="938">
      <c r="J938" s="15"/>
      <c r="V938" s="15"/>
      <c r="W938" s="15"/>
    </row>
    <row r="939">
      <c r="J939" s="15"/>
      <c r="V939" s="15"/>
      <c r="W939" s="15"/>
    </row>
    <row r="940">
      <c r="J940" s="15"/>
      <c r="V940" s="15"/>
      <c r="W940" s="15"/>
    </row>
    <row r="941">
      <c r="J941" s="15"/>
      <c r="V941" s="15"/>
      <c r="W941" s="15"/>
    </row>
    <row r="942">
      <c r="J942" s="15"/>
      <c r="V942" s="15"/>
      <c r="W942" s="15"/>
    </row>
    <row r="943">
      <c r="J943" s="15"/>
      <c r="V943" s="15"/>
      <c r="W943" s="15"/>
    </row>
    <row r="944">
      <c r="J944" s="15"/>
      <c r="V944" s="15"/>
      <c r="W944" s="15"/>
    </row>
    <row r="945">
      <c r="J945" s="15"/>
      <c r="V945" s="15"/>
      <c r="W945" s="15"/>
    </row>
    <row r="946">
      <c r="J946" s="15"/>
      <c r="V946" s="15"/>
      <c r="W946" s="15"/>
    </row>
    <row r="947">
      <c r="J947" s="15"/>
      <c r="V947" s="15"/>
      <c r="W947" s="15"/>
    </row>
    <row r="948">
      <c r="J948" s="15"/>
      <c r="V948" s="15"/>
      <c r="W948" s="15"/>
    </row>
    <row r="949">
      <c r="J949" s="15"/>
      <c r="V949" s="15"/>
      <c r="W949" s="15"/>
    </row>
    <row r="950">
      <c r="J950" s="15"/>
      <c r="V950" s="15"/>
      <c r="W950" s="15"/>
    </row>
    <row r="951">
      <c r="J951" s="15"/>
      <c r="V951" s="15"/>
      <c r="W951" s="15"/>
    </row>
    <row r="952">
      <c r="J952" s="15"/>
      <c r="V952" s="15"/>
      <c r="W952" s="15"/>
    </row>
    <row r="953">
      <c r="J953" s="15"/>
      <c r="V953" s="15"/>
      <c r="W953" s="15"/>
    </row>
    <row r="954">
      <c r="J954" s="15"/>
      <c r="V954" s="15"/>
      <c r="W954" s="15"/>
    </row>
    <row r="955">
      <c r="J955" s="15"/>
      <c r="V955" s="15"/>
      <c r="W955" s="15"/>
    </row>
    <row r="956">
      <c r="J956" s="15"/>
      <c r="V956" s="15"/>
      <c r="W956" s="15"/>
    </row>
    <row r="957">
      <c r="J957" s="15"/>
      <c r="V957" s="15"/>
      <c r="W957" s="15"/>
    </row>
    <row r="958">
      <c r="J958" s="15"/>
      <c r="V958" s="15"/>
      <c r="W958" s="15"/>
    </row>
    <row r="959">
      <c r="J959" s="15"/>
      <c r="V959" s="15"/>
      <c r="W959" s="15"/>
    </row>
    <row r="960">
      <c r="J960" s="15"/>
      <c r="V960" s="15"/>
      <c r="W960" s="15"/>
    </row>
    <row r="961">
      <c r="J961" s="15"/>
      <c r="V961" s="15"/>
      <c r="W961" s="15"/>
    </row>
    <row r="962">
      <c r="J962" s="15"/>
      <c r="V962" s="15"/>
      <c r="W962" s="15"/>
    </row>
    <row r="963">
      <c r="J963" s="15"/>
      <c r="V963" s="15"/>
      <c r="W963" s="15"/>
    </row>
    <row r="964">
      <c r="J964" s="15"/>
      <c r="V964" s="15"/>
      <c r="W964" s="15"/>
    </row>
    <row r="965">
      <c r="J965" s="15"/>
      <c r="V965" s="15"/>
      <c r="W965" s="15"/>
    </row>
    <row r="966">
      <c r="J966" s="15"/>
      <c r="V966" s="15"/>
      <c r="W966" s="15"/>
    </row>
    <row r="967">
      <c r="J967" s="15"/>
      <c r="V967" s="15"/>
      <c r="W967" s="15"/>
    </row>
    <row r="968">
      <c r="J968" s="15"/>
      <c r="V968" s="15"/>
      <c r="W968" s="15"/>
    </row>
    <row r="969">
      <c r="J969" s="15"/>
      <c r="V969" s="15"/>
      <c r="W969" s="15"/>
    </row>
    <row r="970">
      <c r="J970" s="15"/>
      <c r="V970" s="15"/>
      <c r="W970" s="15"/>
    </row>
    <row r="971">
      <c r="J971" s="15"/>
      <c r="V971" s="15"/>
      <c r="W971" s="15"/>
    </row>
    <row r="972">
      <c r="J972" s="15"/>
      <c r="V972" s="15"/>
      <c r="W972" s="15"/>
    </row>
    <row r="973">
      <c r="J973" s="15"/>
      <c r="V973" s="15"/>
      <c r="W973" s="15"/>
    </row>
    <row r="974">
      <c r="J974" s="15"/>
      <c r="V974" s="15"/>
      <c r="W974" s="15"/>
    </row>
    <row r="975">
      <c r="J975" s="15"/>
      <c r="V975" s="15"/>
      <c r="W975" s="15"/>
    </row>
    <row r="976">
      <c r="J976" s="15"/>
      <c r="V976" s="15"/>
      <c r="W976" s="15"/>
    </row>
    <row r="977">
      <c r="J977" s="15"/>
      <c r="V977" s="15"/>
      <c r="W977" s="15"/>
    </row>
    <row r="978">
      <c r="J978" s="15"/>
      <c r="V978" s="15"/>
      <c r="W978" s="15"/>
    </row>
    <row r="979">
      <c r="J979" s="15"/>
      <c r="V979" s="15"/>
      <c r="W979" s="15"/>
    </row>
    <row r="980">
      <c r="J980" s="15"/>
      <c r="V980" s="15"/>
      <c r="W980" s="15"/>
    </row>
    <row r="981">
      <c r="J981" s="15"/>
      <c r="V981" s="15"/>
      <c r="W981" s="15"/>
    </row>
    <row r="982">
      <c r="J982" s="15"/>
      <c r="V982" s="15"/>
      <c r="W982" s="15"/>
    </row>
    <row r="983">
      <c r="J983" s="15"/>
      <c r="V983" s="15"/>
      <c r="W983" s="15"/>
    </row>
    <row r="984">
      <c r="J984" s="15"/>
      <c r="V984" s="15"/>
      <c r="W984" s="15"/>
    </row>
    <row r="985">
      <c r="J985" s="15"/>
      <c r="V985" s="15"/>
      <c r="W985" s="15"/>
    </row>
    <row r="986">
      <c r="J986" s="15"/>
      <c r="V986" s="15"/>
      <c r="W986" s="15"/>
    </row>
    <row r="987">
      <c r="J987" s="15"/>
      <c r="V987" s="15"/>
      <c r="W987" s="15"/>
    </row>
    <row r="988">
      <c r="J988" s="15"/>
      <c r="V988" s="15"/>
      <c r="W988" s="15"/>
    </row>
    <row r="989">
      <c r="J989" s="15"/>
      <c r="V989" s="15"/>
      <c r="W989" s="15"/>
    </row>
    <row r="990">
      <c r="J990" s="15"/>
      <c r="V990" s="15"/>
      <c r="W990" s="15"/>
    </row>
    <row r="991">
      <c r="J991" s="15"/>
      <c r="V991" s="15"/>
      <c r="W991" s="15"/>
    </row>
    <row r="992">
      <c r="J992" s="15"/>
      <c r="V992" s="15"/>
      <c r="W992" s="15"/>
    </row>
    <row r="993">
      <c r="J993" s="15"/>
      <c r="V993" s="15"/>
      <c r="W993" s="15"/>
    </row>
    <row r="994">
      <c r="J994" s="15"/>
      <c r="V994" s="15"/>
      <c r="W994" s="15"/>
    </row>
    <row r="995">
      <c r="J995" s="15"/>
      <c r="V995" s="15"/>
      <c r="W995" s="15"/>
    </row>
    <row r="996">
      <c r="J996" s="15"/>
      <c r="V996" s="15"/>
      <c r="W996" s="15"/>
    </row>
    <row r="997">
      <c r="J997" s="15"/>
      <c r="V997" s="15"/>
      <c r="W997" s="15"/>
    </row>
    <row r="998">
      <c r="J998" s="15"/>
      <c r="V998" s="15"/>
      <c r="W998" s="15"/>
    </row>
  </sheetData>
  <autoFilter ref="$B$6:$J$36"/>
  <mergeCells count="4">
    <mergeCell ref="B2:C2"/>
    <mergeCell ref="L6:O6"/>
    <mergeCell ref="Q6:R6"/>
    <mergeCell ref="T6:X6"/>
  </mergeCells>
  <conditionalFormatting sqref="G7:G36">
    <cfRule type="colorScale" priority="1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C6:C34">
    <cfRule type="colorScale" priority="2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U8:U13">
    <cfRule type="cellIs" dxfId="0" priority="3" operator="lessThanOrEqual">
      <formula>MEDIAN($C$7:$C$34)</formula>
    </cfRule>
  </conditionalFormatting>
  <conditionalFormatting sqref="U8:U13">
    <cfRule type="cellIs" dxfId="1" priority="4" operator="greaterThan">
      <formula>MEDIAN($C$7:$C$34)</formula>
    </cfRule>
  </conditionalFormatting>
  <conditionalFormatting sqref="R9">
    <cfRule type="cellIs" dxfId="0" priority="5" operator="lessThanOrEqual">
      <formula>COUNT($B:$B) - (#REF! + #REF!)</formula>
    </cfRule>
  </conditionalFormatting>
  <conditionalFormatting sqref="R9">
    <cfRule type="cellIs" dxfId="1" priority="6" operator="greaterThan">
      <formula>COUNT($B:$B) - (#REF! + #REF!)</formula>
    </cfRule>
  </conditionalFormatting>
  <conditionalFormatting sqref="J7:J36">
    <cfRule type="cellIs" dxfId="0" priority="7" operator="equal">
      <formula>"Sim"</formula>
    </cfRule>
  </conditionalFormatting>
  <conditionalFormatting sqref="J7:J36">
    <cfRule type="cellIs" dxfId="1" priority="8" operator="equal">
      <formula>"Não"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13"/>
    <col customWidth="1" min="2" max="2" width="12.63"/>
    <col customWidth="1" min="3" max="3" width="10.88"/>
    <col customWidth="1" min="4" max="4" width="11.5"/>
    <col customWidth="1" min="5" max="6" width="8.38"/>
    <col customWidth="1" min="7" max="7" width="11.13"/>
    <col customWidth="1" min="8" max="9" width="10.0"/>
    <col customWidth="1" min="10" max="10" width="9.5"/>
    <col customWidth="1" min="11" max="11" width="1.5"/>
    <col customWidth="1" min="12" max="12" width="11.88"/>
    <col customWidth="1" min="13" max="13" width="10.25"/>
    <col customWidth="1" min="14" max="14" width="5.13"/>
    <col customWidth="1" min="15" max="15" width="10.13"/>
    <col customWidth="1" min="16" max="16" width="1.5"/>
    <col customWidth="1" min="17" max="17" width="14.38"/>
    <col customWidth="1" min="18" max="18" width="10.88"/>
    <col customWidth="1" min="19" max="19" width="1.38"/>
    <col customWidth="1" min="20" max="20" width="9.25"/>
    <col customWidth="1" min="21" max="21" width="9.13"/>
    <col customWidth="1" min="22" max="22" width="4.63"/>
    <col customWidth="1" min="23" max="23" width="8.38"/>
    <col customWidth="1" min="24" max="24" width="7.75"/>
    <col customWidth="1" min="25" max="25" width="2.63"/>
  </cols>
  <sheetData>
    <row r="1">
      <c r="J1" s="15"/>
      <c r="V1" s="15"/>
      <c r="W1" s="15"/>
    </row>
    <row r="2" ht="22.5" customHeight="1">
      <c r="B2" s="68" t="s">
        <v>40</v>
      </c>
      <c r="C2" s="27"/>
      <c r="J2" s="15"/>
      <c r="V2" s="15"/>
      <c r="W2" s="15"/>
    </row>
    <row r="3">
      <c r="B3" s="69" t="s">
        <v>41</v>
      </c>
      <c r="C3" s="70"/>
      <c r="J3" s="15"/>
      <c r="V3" s="15"/>
      <c r="W3" s="15"/>
    </row>
    <row r="4">
      <c r="B4" s="69" t="s">
        <v>42</v>
      </c>
      <c r="C4" s="71"/>
      <c r="J4" s="15"/>
      <c r="V4" s="15"/>
      <c r="W4" s="15"/>
    </row>
    <row r="5">
      <c r="C5" s="1"/>
      <c r="J5" s="15"/>
      <c r="V5" s="15"/>
      <c r="W5" s="15"/>
    </row>
    <row r="6" ht="35.25" customHeight="1">
      <c r="A6" s="72"/>
      <c r="B6" s="73" t="s">
        <v>25</v>
      </c>
      <c r="C6" s="73" t="s">
        <v>43</v>
      </c>
      <c r="D6" s="73" t="s">
        <v>44</v>
      </c>
      <c r="E6" s="73" t="s">
        <v>45</v>
      </c>
      <c r="F6" s="73" t="s">
        <v>46</v>
      </c>
      <c r="G6" s="73" t="s">
        <v>47</v>
      </c>
      <c r="H6" s="73" t="s">
        <v>48</v>
      </c>
      <c r="I6" s="73" t="s">
        <v>49</v>
      </c>
      <c r="J6" s="73" t="s">
        <v>50</v>
      </c>
      <c r="L6" s="74" t="s">
        <v>51</v>
      </c>
      <c r="M6" s="26"/>
      <c r="N6" s="26"/>
      <c r="O6" s="27"/>
      <c r="Q6" s="74" t="s">
        <v>52</v>
      </c>
      <c r="R6" s="27"/>
      <c r="S6" s="72"/>
      <c r="T6" s="72"/>
    </row>
    <row r="7">
      <c r="A7" s="39"/>
      <c r="B7" s="39">
        <v>46204.0</v>
      </c>
      <c r="C7" s="75"/>
      <c r="D7" s="75"/>
      <c r="E7" s="75"/>
      <c r="F7" s="75"/>
      <c r="G7" s="56" t="str">
        <f t="shared" ref="G7:G37" si="1">IF(SUM(D7:F7) = 0, , (SUM(D7:F7)))</f>
        <v/>
      </c>
      <c r="H7" s="76" t="str">
        <f t="shared" ref="H7:H34" si="2">IFERROR(G7/C7, )</f>
        <v/>
      </c>
      <c r="I7" s="77">
        <f t="shared" ref="I7:I37" si="3">IFERROR(H7/25 * ($C$3/10), )</f>
        <v>0</v>
      </c>
      <c r="J7" s="41" t="str">
        <f t="shared" ref="J7:J37" si="4">IF(B7 &gt; TODAY(), "", IF(G7 = "", "Não", "Sim"))
</f>
        <v/>
      </c>
      <c r="L7" s="78"/>
      <c r="M7" s="79" t="s">
        <v>53</v>
      </c>
      <c r="N7" s="80" t="s">
        <v>54</v>
      </c>
      <c r="O7" s="81" t="s">
        <v>55</v>
      </c>
      <c r="Q7" s="82"/>
      <c r="R7" s="69" t="s">
        <v>56</v>
      </c>
      <c r="T7" s="2"/>
      <c r="U7" s="2"/>
      <c r="V7" s="2"/>
      <c r="W7" s="2"/>
      <c r="X7" s="83"/>
      <c r="Y7" s="2"/>
    </row>
    <row r="8">
      <c r="A8" s="39"/>
      <c r="B8" s="39">
        <v>46205.0</v>
      </c>
      <c r="C8" s="75"/>
      <c r="D8" s="75"/>
      <c r="E8" s="75"/>
      <c r="F8" s="75"/>
      <c r="G8" s="56" t="str">
        <f t="shared" si="1"/>
        <v/>
      </c>
      <c r="H8" s="76" t="str">
        <f t="shared" si="2"/>
        <v/>
      </c>
      <c r="I8" s="77">
        <f t="shared" si="3"/>
        <v>0</v>
      </c>
      <c r="J8" s="41" t="str">
        <f t="shared" si="4"/>
        <v/>
      </c>
      <c r="L8" s="84" t="s">
        <v>0</v>
      </c>
      <c r="M8" s="85" t="str">
        <f> IFERROR(MEDIAN(C7:C999), )</f>
        <v/>
      </c>
      <c r="N8" s="86"/>
      <c r="O8" s="87"/>
      <c r="P8" s="88"/>
      <c r="Q8" s="89" t="s">
        <v>57</v>
      </c>
      <c r="R8" s="17">
        <f>Count(B:B)</f>
        <v>31</v>
      </c>
      <c r="T8" s="90"/>
      <c r="U8" s="91"/>
      <c r="V8" s="2"/>
      <c r="W8" s="91"/>
      <c r="X8" s="92"/>
      <c r="Y8" s="56"/>
    </row>
    <row r="9">
      <c r="A9" s="39"/>
      <c r="B9" s="39">
        <v>46206.0</v>
      </c>
      <c r="C9" s="75"/>
      <c r="D9" s="75"/>
      <c r="E9" s="75"/>
      <c r="F9" s="75"/>
      <c r="G9" s="56" t="str">
        <f t="shared" si="1"/>
        <v/>
      </c>
      <c r="H9" s="76" t="str">
        <f t="shared" si="2"/>
        <v/>
      </c>
      <c r="I9" s="77">
        <f t="shared" si="3"/>
        <v>0</v>
      </c>
      <c r="J9" s="41" t="str">
        <f t="shared" si="4"/>
        <v/>
      </c>
      <c r="L9" s="89" t="s">
        <v>2</v>
      </c>
      <c r="M9" s="56" t="str">
        <f t="shared" ref="M9:N9" si="5"> IFERROR(MEDIAN(G7:G999), )</f>
        <v/>
      </c>
      <c r="N9" s="56" t="str">
        <f t="shared" si="5"/>
        <v/>
      </c>
      <c r="O9" s="93">
        <f> IFERROR($N$9 * ($C$3/10)  / 25, )</f>
        <v>0</v>
      </c>
      <c r="P9" s="88"/>
      <c r="Q9" s="89" t="s">
        <v>58</v>
      </c>
      <c r="R9" s="17">
        <f>COUNTIF(J:J, "=Sim")</f>
        <v>0</v>
      </c>
      <c r="T9" s="90"/>
      <c r="U9" s="91"/>
      <c r="V9" s="2"/>
      <c r="W9" s="91"/>
      <c r="X9" s="92"/>
      <c r="Y9" s="56"/>
    </row>
    <row r="10">
      <c r="A10" s="39"/>
      <c r="B10" s="39">
        <v>46207.0</v>
      </c>
      <c r="C10" s="75"/>
      <c r="D10" s="75"/>
      <c r="E10" s="75"/>
      <c r="F10" s="75"/>
      <c r="G10" s="56" t="str">
        <f t="shared" si="1"/>
        <v/>
      </c>
      <c r="H10" s="76" t="str">
        <f t="shared" si="2"/>
        <v/>
      </c>
      <c r="I10" s="77">
        <f t="shared" si="3"/>
        <v>0</v>
      </c>
      <c r="J10" s="41" t="str">
        <f t="shared" si="4"/>
        <v/>
      </c>
      <c r="L10" s="89" t="s">
        <v>59</v>
      </c>
      <c r="M10" s="94">
        <f>IFERROR(SUM(G7:G999), )</f>
        <v>0</v>
      </c>
      <c r="N10" s="95" t="str">
        <f> IFERROR($M$10 / $M$8, )</f>
        <v/>
      </c>
      <c r="O10" s="93">
        <f> IFERROR($N$10 * ($C$3/10)  / 25, )</f>
        <v>0</v>
      </c>
      <c r="P10" s="88"/>
      <c r="Q10" s="89" t="s">
        <v>60</v>
      </c>
      <c r="R10" s="96" t="str">
        <f>IFERROR(M12/M9, )</f>
        <v/>
      </c>
      <c r="T10" s="90"/>
      <c r="U10" s="91"/>
      <c r="V10" s="2"/>
      <c r="W10" s="91"/>
      <c r="X10" s="92"/>
      <c r="Y10" s="56"/>
    </row>
    <row r="11">
      <c r="A11" s="39"/>
      <c r="B11" s="39">
        <v>46208.0</v>
      </c>
      <c r="C11" s="75"/>
      <c r="D11" s="75"/>
      <c r="E11" s="75"/>
      <c r="F11" s="75"/>
      <c r="G11" s="56" t="str">
        <f t="shared" si="1"/>
        <v/>
      </c>
      <c r="H11" s="76" t="str">
        <f t="shared" si="2"/>
        <v/>
      </c>
      <c r="I11" s="77">
        <f t="shared" si="3"/>
        <v>0</v>
      </c>
      <c r="J11" s="41" t="str">
        <f t="shared" si="4"/>
        <v/>
      </c>
      <c r="L11" s="89" t="s">
        <v>61</v>
      </c>
      <c r="M11" s="75">
        <f> IFERROR($N$11 * $M$8, )</f>
        <v>0</v>
      </c>
      <c r="N11" s="98" t="str">
        <f> IFERROR($C$4, )</f>
        <v/>
      </c>
      <c r="O11" s="93">
        <f> IFERROR($N$11 * ($C$3/10)  / 25,"")</f>
        <v>0</v>
      </c>
      <c r="Q11" s="89" t="s">
        <v>62</v>
      </c>
      <c r="R11" s="17">
        <f>COUNTIF($J:$J, "=Não")</f>
        <v>0</v>
      </c>
      <c r="T11" s="90"/>
      <c r="U11" s="91"/>
      <c r="V11" s="2"/>
      <c r="W11" s="91"/>
      <c r="X11" s="92"/>
      <c r="Y11" s="56"/>
    </row>
    <row r="12">
      <c r="A12" s="39"/>
      <c r="B12" s="39">
        <v>46209.0</v>
      </c>
      <c r="C12" s="75"/>
      <c r="D12" s="75"/>
      <c r="E12" s="56"/>
      <c r="F12" s="75"/>
      <c r="G12" s="56" t="str">
        <f t="shared" si="1"/>
        <v/>
      </c>
      <c r="H12" s="76" t="str">
        <f t="shared" si="2"/>
        <v/>
      </c>
      <c r="I12" s="77">
        <f t="shared" si="3"/>
        <v>0</v>
      </c>
      <c r="J12" s="41" t="str">
        <f t="shared" si="4"/>
        <v/>
      </c>
      <c r="L12" s="89" t="s">
        <v>63</v>
      </c>
      <c r="M12" s="56">
        <f> IFERROR($M$11 - $M$10, )</f>
        <v>0</v>
      </c>
      <c r="N12" s="56">
        <f>N11 - N10</f>
        <v>0</v>
      </c>
      <c r="O12" s="93">
        <f> IFERROR($N$12 * ($C$3/10)  / 25, )</f>
        <v>0</v>
      </c>
      <c r="Q12" s="89" t="s">
        <v>64</v>
      </c>
      <c r="R12" s="96">
        <f>R8 - R9 - R10</f>
        <v>31</v>
      </c>
      <c r="T12" s="90"/>
      <c r="U12" s="91"/>
      <c r="V12" s="2"/>
      <c r="W12" s="91"/>
      <c r="X12" s="92"/>
      <c r="Y12" s="56"/>
    </row>
    <row r="13">
      <c r="A13" s="39"/>
      <c r="B13" s="39">
        <v>46210.0</v>
      </c>
      <c r="C13" s="75"/>
      <c r="D13" s="75"/>
      <c r="E13" s="75"/>
      <c r="F13" s="75"/>
      <c r="G13" s="56" t="str">
        <f t="shared" si="1"/>
        <v/>
      </c>
      <c r="H13" s="76" t="str">
        <f t="shared" si="2"/>
        <v/>
      </c>
      <c r="I13" s="77">
        <f t="shared" si="3"/>
        <v>0</v>
      </c>
      <c r="J13" s="41" t="str">
        <f t="shared" si="4"/>
        <v/>
      </c>
      <c r="L13" s="99"/>
      <c r="M13" s="100"/>
      <c r="N13" s="100"/>
      <c r="O13" s="101"/>
      <c r="Q13" s="99" t="s">
        <v>7</v>
      </c>
      <c r="R13" s="23" t="str">
        <f>IF(M10 &gt;= M11, "🔵 Concluído", IF((R8-R9)-R10-R11&gt;=2, "🟢 Seguro", IF((R8-R9)-R10-R11&gt;=0, "🟡 Atenção", "🔴 Risco")))</f>
        <v>🔵 Concluído</v>
      </c>
      <c r="T13" s="90"/>
      <c r="U13" s="91"/>
      <c r="V13" s="2"/>
      <c r="W13" s="91"/>
      <c r="X13" s="92"/>
      <c r="Y13" s="56"/>
    </row>
    <row r="14">
      <c r="A14" s="39"/>
      <c r="B14" s="39">
        <v>46211.0</v>
      </c>
      <c r="C14" s="75"/>
      <c r="D14" s="75"/>
      <c r="E14" s="75"/>
      <c r="F14" s="75"/>
      <c r="G14" s="56" t="str">
        <f t="shared" si="1"/>
        <v/>
      </c>
      <c r="H14" s="76" t="str">
        <f t="shared" si="2"/>
        <v/>
      </c>
      <c r="I14" s="77">
        <f t="shared" si="3"/>
        <v>0</v>
      </c>
      <c r="J14" s="41" t="str">
        <f t="shared" si="4"/>
        <v/>
      </c>
      <c r="L14" s="1"/>
      <c r="M14" s="1"/>
      <c r="N14" s="1"/>
      <c r="O14" s="1"/>
      <c r="Q14" s="1"/>
      <c r="R14" s="15"/>
      <c r="V14" s="15"/>
      <c r="W14" s="15"/>
      <c r="Y14" s="56"/>
    </row>
    <row r="15">
      <c r="A15" s="39"/>
      <c r="B15" s="39">
        <v>46212.0</v>
      </c>
      <c r="C15" s="75"/>
      <c r="D15" s="75"/>
      <c r="E15" s="75"/>
      <c r="F15" s="75"/>
      <c r="G15" s="56" t="str">
        <f t="shared" si="1"/>
        <v/>
      </c>
      <c r="H15" s="76" t="str">
        <f t="shared" si="2"/>
        <v/>
      </c>
      <c r="I15" s="77">
        <f t="shared" si="3"/>
        <v>0</v>
      </c>
      <c r="J15" s="41" t="str">
        <f t="shared" si="4"/>
        <v/>
      </c>
      <c r="L15" s="1"/>
      <c r="V15" s="15"/>
      <c r="W15" s="15"/>
    </row>
    <row r="16">
      <c r="A16" s="39"/>
      <c r="B16" s="39">
        <v>46213.0</v>
      </c>
      <c r="C16" s="75"/>
      <c r="D16" s="75"/>
      <c r="E16" s="75"/>
      <c r="F16" s="75"/>
      <c r="G16" s="56" t="str">
        <f t="shared" si="1"/>
        <v/>
      </c>
      <c r="H16" s="76" t="str">
        <f t="shared" si="2"/>
        <v/>
      </c>
      <c r="I16" s="77">
        <f t="shared" si="3"/>
        <v>0</v>
      </c>
      <c r="J16" s="41" t="str">
        <f t="shared" si="4"/>
        <v/>
      </c>
      <c r="N16" s="102"/>
      <c r="V16" s="15"/>
      <c r="W16" s="15"/>
    </row>
    <row r="17">
      <c r="A17" s="39"/>
      <c r="B17" s="39">
        <v>46214.0</v>
      </c>
      <c r="C17" s="75"/>
      <c r="D17" s="75"/>
      <c r="E17" s="75"/>
      <c r="F17" s="75"/>
      <c r="G17" s="56" t="str">
        <f t="shared" si="1"/>
        <v/>
      </c>
      <c r="H17" s="76" t="str">
        <f t="shared" si="2"/>
        <v/>
      </c>
      <c r="I17" s="77">
        <f t="shared" si="3"/>
        <v>0</v>
      </c>
      <c r="J17" s="41" t="str">
        <f t="shared" si="4"/>
        <v/>
      </c>
      <c r="V17" s="15"/>
      <c r="W17" s="15"/>
    </row>
    <row r="18">
      <c r="A18" s="39"/>
      <c r="B18" s="39">
        <v>46215.0</v>
      </c>
      <c r="C18" s="56"/>
      <c r="D18" s="56"/>
      <c r="E18" s="56"/>
      <c r="F18" s="56"/>
      <c r="G18" s="56" t="str">
        <f t="shared" si="1"/>
        <v/>
      </c>
      <c r="H18" s="76" t="str">
        <f t="shared" si="2"/>
        <v/>
      </c>
      <c r="I18" s="77">
        <f t="shared" si="3"/>
        <v>0</v>
      </c>
      <c r="J18" s="41" t="str">
        <f t="shared" si="4"/>
        <v/>
      </c>
      <c r="V18" s="15"/>
      <c r="W18" s="15"/>
    </row>
    <row r="19">
      <c r="A19" s="39"/>
      <c r="B19" s="39">
        <v>46216.0</v>
      </c>
      <c r="C19" s="56"/>
      <c r="D19" s="56"/>
      <c r="E19" s="56"/>
      <c r="F19" s="56"/>
      <c r="G19" s="56" t="str">
        <f t="shared" si="1"/>
        <v/>
      </c>
      <c r="H19" s="76" t="str">
        <f t="shared" si="2"/>
        <v/>
      </c>
      <c r="I19" s="77">
        <f t="shared" si="3"/>
        <v>0</v>
      </c>
      <c r="J19" s="41" t="str">
        <f t="shared" si="4"/>
        <v/>
      </c>
      <c r="V19" s="15"/>
      <c r="W19" s="15"/>
    </row>
    <row r="20">
      <c r="A20" s="39"/>
      <c r="B20" s="39">
        <v>46217.0</v>
      </c>
      <c r="C20" s="56"/>
      <c r="D20" s="56"/>
      <c r="E20" s="56"/>
      <c r="F20" s="56"/>
      <c r="G20" s="56" t="str">
        <f t="shared" si="1"/>
        <v/>
      </c>
      <c r="H20" s="76" t="str">
        <f t="shared" si="2"/>
        <v/>
      </c>
      <c r="I20" s="77">
        <f t="shared" si="3"/>
        <v>0</v>
      </c>
      <c r="J20" s="41" t="str">
        <f t="shared" si="4"/>
        <v/>
      </c>
      <c r="V20" s="15"/>
      <c r="W20" s="15"/>
    </row>
    <row r="21">
      <c r="A21" s="39"/>
      <c r="B21" s="39">
        <v>46218.0</v>
      </c>
      <c r="C21" s="56"/>
      <c r="D21" s="56"/>
      <c r="E21" s="56"/>
      <c r="F21" s="56"/>
      <c r="G21" s="56" t="str">
        <f t="shared" si="1"/>
        <v/>
      </c>
      <c r="H21" s="76" t="str">
        <f t="shared" si="2"/>
        <v/>
      </c>
      <c r="I21" s="77">
        <f t="shared" si="3"/>
        <v>0</v>
      </c>
      <c r="J21" s="41" t="str">
        <f t="shared" si="4"/>
        <v/>
      </c>
      <c r="V21" s="15"/>
      <c r="W21" s="15"/>
    </row>
    <row r="22">
      <c r="A22" s="39"/>
      <c r="B22" s="39">
        <v>46219.0</v>
      </c>
      <c r="C22" s="56"/>
      <c r="D22" s="56"/>
      <c r="E22" s="56"/>
      <c r="F22" s="56"/>
      <c r="G22" s="56" t="str">
        <f t="shared" si="1"/>
        <v/>
      </c>
      <c r="H22" s="76" t="str">
        <f t="shared" si="2"/>
        <v/>
      </c>
      <c r="I22" s="77">
        <f t="shared" si="3"/>
        <v>0</v>
      </c>
      <c r="J22" s="41" t="str">
        <f t="shared" si="4"/>
        <v/>
      </c>
      <c r="V22" s="15"/>
      <c r="W22" s="15"/>
    </row>
    <row r="23">
      <c r="A23" s="39"/>
      <c r="B23" s="39">
        <v>46220.0</v>
      </c>
      <c r="C23" s="56"/>
      <c r="D23" s="56"/>
      <c r="E23" s="56"/>
      <c r="F23" s="56"/>
      <c r="G23" s="56" t="str">
        <f t="shared" si="1"/>
        <v/>
      </c>
      <c r="H23" s="76" t="str">
        <f t="shared" si="2"/>
        <v/>
      </c>
      <c r="I23" s="77">
        <f t="shared" si="3"/>
        <v>0</v>
      </c>
      <c r="J23" s="41" t="str">
        <f t="shared" si="4"/>
        <v/>
      </c>
      <c r="V23" s="15"/>
      <c r="W23" s="15"/>
    </row>
    <row r="24">
      <c r="A24" s="39"/>
      <c r="B24" s="39">
        <v>46221.0</v>
      </c>
      <c r="C24" s="56"/>
      <c r="D24" s="56"/>
      <c r="E24" s="56"/>
      <c r="F24" s="56"/>
      <c r="G24" s="56" t="str">
        <f t="shared" si="1"/>
        <v/>
      </c>
      <c r="H24" s="76" t="str">
        <f t="shared" si="2"/>
        <v/>
      </c>
      <c r="I24" s="77">
        <f t="shared" si="3"/>
        <v>0</v>
      </c>
      <c r="J24" s="41" t="str">
        <f t="shared" si="4"/>
        <v/>
      </c>
      <c r="N24" s="1"/>
      <c r="V24" s="15"/>
      <c r="W24" s="15"/>
    </row>
    <row r="25">
      <c r="A25" s="39"/>
      <c r="B25" s="39">
        <v>46222.0</v>
      </c>
      <c r="C25" s="75"/>
      <c r="D25" s="56"/>
      <c r="E25" s="75"/>
      <c r="F25" s="75"/>
      <c r="G25" s="56" t="str">
        <f t="shared" si="1"/>
        <v/>
      </c>
      <c r="H25" s="76" t="str">
        <f t="shared" si="2"/>
        <v/>
      </c>
      <c r="I25" s="77">
        <f t="shared" si="3"/>
        <v>0</v>
      </c>
      <c r="J25" s="41" t="str">
        <f t="shared" si="4"/>
        <v/>
      </c>
      <c r="V25" s="15"/>
      <c r="W25" s="15"/>
    </row>
    <row r="26">
      <c r="A26" s="39"/>
      <c r="B26" s="39">
        <v>46223.0</v>
      </c>
      <c r="C26" s="75"/>
      <c r="D26" s="56"/>
      <c r="E26" s="56"/>
      <c r="F26" s="75"/>
      <c r="G26" s="56" t="str">
        <f t="shared" si="1"/>
        <v/>
      </c>
      <c r="H26" s="76" t="str">
        <f t="shared" si="2"/>
        <v/>
      </c>
      <c r="I26" s="77">
        <f t="shared" si="3"/>
        <v>0</v>
      </c>
      <c r="J26" s="41" t="str">
        <f t="shared" si="4"/>
        <v/>
      </c>
      <c r="V26" s="15"/>
      <c r="W26" s="15"/>
    </row>
    <row r="27">
      <c r="A27" s="39"/>
      <c r="B27" s="39">
        <v>46224.0</v>
      </c>
      <c r="C27" s="75"/>
      <c r="D27" s="75"/>
      <c r="E27" s="75"/>
      <c r="F27" s="75"/>
      <c r="G27" s="56" t="str">
        <f t="shared" si="1"/>
        <v/>
      </c>
      <c r="H27" s="76" t="str">
        <f t="shared" si="2"/>
        <v/>
      </c>
      <c r="I27" s="77">
        <f t="shared" si="3"/>
        <v>0</v>
      </c>
      <c r="J27" s="41" t="str">
        <f t="shared" si="4"/>
        <v/>
      </c>
      <c r="V27" s="15"/>
      <c r="W27" s="15"/>
    </row>
    <row r="28">
      <c r="A28" s="39"/>
      <c r="B28" s="39">
        <v>46225.0</v>
      </c>
      <c r="C28" s="75"/>
      <c r="D28" s="56"/>
      <c r="E28" s="56"/>
      <c r="F28" s="75"/>
      <c r="G28" s="56" t="str">
        <f t="shared" si="1"/>
        <v/>
      </c>
      <c r="H28" s="104" t="str">
        <f t="shared" si="2"/>
        <v/>
      </c>
      <c r="I28" s="77">
        <f t="shared" si="3"/>
        <v>0</v>
      </c>
      <c r="J28" s="41" t="str">
        <f t="shared" si="4"/>
        <v/>
      </c>
      <c r="N28" s="1"/>
      <c r="V28" s="15"/>
      <c r="W28" s="15"/>
    </row>
    <row r="29">
      <c r="A29" s="39"/>
      <c r="B29" s="39">
        <v>46226.0</v>
      </c>
      <c r="C29" s="75"/>
      <c r="D29" s="56"/>
      <c r="E29" s="56"/>
      <c r="F29" s="75"/>
      <c r="G29" s="56" t="str">
        <f t="shared" si="1"/>
        <v/>
      </c>
      <c r="H29" s="104" t="str">
        <f t="shared" si="2"/>
        <v/>
      </c>
      <c r="I29" s="77">
        <f t="shared" si="3"/>
        <v>0</v>
      </c>
      <c r="J29" s="41" t="str">
        <f t="shared" si="4"/>
        <v/>
      </c>
      <c r="V29" s="15"/>
      <c r="W29" s="15"/>
    </row>
    <row r="30">
      <c r="A30" s="39"/>
      <c r="B30" s="39">
        <v>46227.0</v>
      </c>
      <c r="C30" s="56"/>
      <c r="D30" s="56"/>
      <c r="E30" s="56"/>
      <c r="F30" s="56"/>
      <c r="G30" s="56" t="str">
        <f t="shared" si="1"/>
        <v/>
      </c>
      <c r="H30" s="104" t="str">
        <f t="shared" si="2"/>
        <v/>
      </c>
      <c r="I30" s="77">
        <f t="shared" si="3"/>
        <v>0</v>
      </c>
      <c r="J30" s="41" t="str">
        <f t="shared" si="4"/>
        <v/>
      </c>
      <c r="V30" s="15"/>
      <c r="W30" s="15"/>
    </row>
    <row r="31">
      <c r="A31" s="39"/>
      <c r="B31" s="39">
        <v>46228.0</v>
      </c>
      <c r="C31" s="56"/>
      <c r="D31" s="56"/>
      <c r="E31" s="56"/>
      <c r="F31" s="56"/>
      <c r="G31" s="56" t="str">
        <f t="shared" si="1"/>
        <v/>
      </c>
      <c r="H31" s="104" t="str">
        <f t="shared" si="2"/>
        <v/>
      </c>
      <c r="I31" s="77">
        <f t="shared" si="3"/>
        <v>0</v>
      </c>
      <c r="J31" s="41" t="str">
        <f t="shared" si="4"/>
        <v/>
      </c>
      <c r="V31" s="15"/>
      <c r="W31" s="15"/>
    </row>
    <row r="32">
      <c r="A32" s="39"/>
      <c r="B32" s="39">
        <v>46229.0</v>
      </c>
      <c r="C32" s="56"/>
      <c r="D32" s="56"/>
      <c r="E32" s="56"/>
      <c r="F32" s="56"/>
      <c r="G32" s="56" t="str">
        <f t="shared" si="1"/>
        <v/>
      </c>
      <c r="H32" s="104" t="str">
        <f t="shared" si="2"/>
        <v/>
      </c>
      <c r="I32" s="77">
        <f t="shared" si="3"/>
        <v>0</v>
      </c>
      <c r="J32" s="41" t="str">
        <f t="shared" si="4"/>
        <v/>
      </c>
      <c r="V32" s="15"/>
      <c r="W32" s="15"/>
    </row>
    <row r="33">
      <c r="A33" s="39"/>
      <c r="B33" s="39">
        <v>46230.0</v>
      </c>
      <c r="C33" s="56"/>
      <c r="D33" s="56"/>
      <c r="E33" s="56"/>
      <c r="F33" s="56"/>
      <c r="G33" s="56" t="str">
        <f t="shared" si="1"/>
        <v/>
      </c>
      <c r="H33" s="104" t="str">
        <f t="shared" si="2"/>
        <v/>
      </c>
      <c r="I33" s="77">
        <f t="shared" si="3"/>
        <v>0</v>
      </c>
      <c r="J33" s="41" t="str">
        <f t="shared" si="4"/>
        <v/>
      </c>
      <c r="V33" s="15"/>
      <c r="W33" s="15"/>
    </row>
    <row r="34">
      <c r="A34" s="39"/>
      <c r="B34" s="39">
        <v>46231.0</v>
      </c>
      <c r="C34" s="56"/>
      <c r="D34" s="56"/>
      <c r="E34" s="56"/>
      <c r="F34" s="56"/>
      <c r="G34" s="56" t="str">
        <f t="shared" si="1"/>
        <v/>
      </c>
      <c r="H34" s="104" t="str">
        <f t="shared" si="2"/>
        <v/>
      </c>
      <c r="I34" s="77">
        <f t="shared" si="3"/>
        <v>0</v>
      </c>
      <c r="J34" s="41" t="str">
        <f t="shared" si="4"/>
        <v/>
      </c>
      <c r="V34" s="15"/>
      <c r="W34" s="15"/>
    </row>
    <row r="35">
      <c r="B35" s="39">
        <v>46232.0</v>
      </c>
      <c r="G35" s="56" t="str">
        <f t="shared" si="1"/>
        <v/>
      </c>
      <c r="I35" s="77">
        <f t="shared" si="3"/>
        <v>0</v>
      </c>
      <c r="J35" s="41" t="str">
        <f t="shared" si="4"/>
        <v/>
      </c>
      <c r="V35" s="15"/>
      <c r="W35" s="15"/>
    </row>
    <row r="36">
      <c r="B36" s="39">
        <v>46233.0</v>
      </c>
      <c r="G36" s="56" t="str">
        <f t="shared" si="1"/>
        <v/>
      </c>
      <c r="H36" s="104" t="str">
        <f>IFERROR(G35/C35, )</f>
        <v/>
      </c>
      <c r="I36" s="77">
        <f t="shared" si="3"/>
        <v>0</v>
      </c>
      <c r="J36" s="41" t="str">
        <f t="shared" si="4"/>
        <v/>
      </c>
      <c r="V36" s="15"/>
      <c r="W36" s="15"/>
    </row>
    <row r="37">
      <c r="B37" s="39">
        <v>46234.0</v>
      </c>
      <c r="G37" s="56" t="str">
        <f t="shared" si="1"/>
        <v/>
      </c>
      <c r="H37" s="104" t="str">
        <f>IFERROR(G37/C37, )</f>
        <v/>
      </c>
      <c r="I37" s="77">
        <f t="shared" si="3"/>
        <v>0</v>
      </c>
      <c r="J37" s="41" t="str">
        <f t="shared" si="4"/>
        <v/>
      </c>
      <c r="V37" s="15"/>
      <c r="W37" s="15"/>
    </row>
    <row r="38">
      <c r="B38" s="39"/>
      <c r="J38" s="15"/>
      <c r="V38" s="15"/>
      <c r="W38" s="15"/>
    </row>
    <row r="39">
      <c r="J39" s="15"/>
      <c r="V39" s="15"/>
      <c r="W39" s="15"/>
    </row>
    <row r="40">
      <c r="J40" s="15"/>
      <c r="V40" s="15"/>
      <c r="W40" s="15"/>
    </row>
    <row r="41">
      <c r="J41" s="15"/>
      <c r="V41" s="15"/>
      <c r="W41" s="15"/>
    </row>
    <row r="42">
      <c r="J42" s="15"/>
      <c r="V42" s="15"/>
      <c r="W42" s="15"/>
    </row>
    <row r="43">
      <c r="J43" s="15"/>
      <c r="V43" s="15"/>
      <c r="W43" s="15"/>
    </row>
    <row r="44">
      <c r="J44" s="15"/>
      <c r="V44" s="15"/>
      <c r="W44" s="15"/>
    </row>
    <row r="45">
      <c r="J45" s="15"/>
      <c r="V45" s="15"/>
      <c r="W45" s="15"/>
    </row>
    <row r="46">
      <c r="J46" s="15"/>
      <c r="V46" s="15"/>
      <c r="W46" s="15"/>
    </row>
    <row r="47">
      <c r="J47" s="15"/>
      <c r="V47" s="15"/>
      <c r="W47" s="15"/>
    </row>
    <row r="48">
      <c r="J48" s="15"/>
      <c r="V48" s="15"/>
      <c r="W48" s="15"/>
    </row>
    <row r="49">
      <c r="J49" s="15"/>
      <c r="V49" s="15"/>
      <c r="W49" s="15"/>
    </row>
    <row r="50">
      <c r="J50" s="15"/>
      <c r="V50" s="15"/>
      <c r="W50" s="15"/>
    </row>
    <row r="51">
      <c r="J51" s="15"/>
      <c r="V51" s="15"/>
      <c r="W51" s="15"/>
    </row>
    <row r="52">
      <c r="J52" s="15"/>
      <c r="V52" s="15"/>
      <c r="W52" s="15"/>
    </row>
    <row r="53">
      <c r="J53" s="15"/>
      <c r="V53" s="15"/>
      <c r="W53" s="15"/>
    </row>
    <row r="54">
      <c r="J54" s="15"/>
      <c r="V54" s="15"/>
      <c r="W54" s="15"/>
    </row>
    <row r="55">
      <c r="J55" s="15"/>
      <c r="V55" s="15"/>
      <c r="W55" s="15"/>
    </row>
    <row r="56">
      <c r="J56" s="15"/>
      <c r="V56" s="15"/>
      <c r="W56" s="15"/>
    </row>
    <row r="57">
      <c r="J57" s="15"/>
      <c r="V57" s="15"/>
      <c r="W57" s="15"/>
    </row>
    <row r="58">
      <c r="J58" s="15"/>
      <c r="V58" s="15"/>
      <c r="W58" s="15"/>
    </row>
    <row r="59">
      <c r="J59" s="15"/>
      <c r="V59" s="15"/>
      <c r="W59" s="15"/>
    </row>
    <row r="60">
      <c r="J60" s="15"/>
      <c r="V60" s="15"/>
      <c r="W60" s="15"/>
    </row>
    <row r="61">
      <c r="J61" s="15"/>
      <c r="V61" s="15"/>
      <c r="W61" s="15"/>
    </row>
    <row r="62">
      <c r="J62" s="15"/>
      <c r="V62" s="15"/>
      <c r="W62" s="15"/>
    </row>
    <row r="63">
      <c r="J63" s="15"/>
      <c r="V63" s="15"/>
      <c r="W63" s="15"/>
    </row>
    <row r="64">
      <c r="J64" s="15"/>
      <c r="V64" s="15"/>
      <c r="W64" s="15"/>
    </row>
    <row r="65">
      <c r="J65" s="15"/>
      <c r="V65" s="15"/>
      <c r="W65" s="15"/>
    </row>
    <row r="66">
      <c r="J66" s="15"/>
      <c r="V66" s="15"/>
      <c r="W66" s="15"/>
    </row>
    <row r="67">
      <c r="J67" s="15"/>
      <c r="V67" s="15"/>
      <c r="W67" s="15"/>
    </row>
    <row r="68">
      <c r="J68" s="15"/>
      <c r="V68" s="15"/>
      <c r="W68" s="15"/>
    </row>
    <row r="69">
      <c r="J69" s="15"/>
      <c r="V69" s="15"/>
      <c r="W69" s="15"/>
    </row>
    <row r="70">
      <c r="J70" s="15"/>
      <c r="V70" s="15"/>
      <c r="W70" s="15"/>
    </row>
    <row r="71">
      <c r="J71" s="15"/>
      <c r="V71" s="15"/>
      <c r="W71" s="15"/>
    </row>
    <row r="72">
      <c r="J72" s="15"/>
      <c r="V72" s="15"/>
      <c r="W72" s="15"/>
    </row>
    <row r="73">
      <c r="J73" s="15"/>
      <c r="V73" s="15"/>
      <c r="W73" s="15"/>
    </row>
    <row r="74">
      <c r="J74" s="15"/>
      <c r="V74" s="15"/>
      <c r="W74" s="15"/>
    </row>
    <row r="75">
      <c r="J75" s="15"/>
      <c r="V75" s="15"/>
      <c r="W75" s="15"/>
    </row>
    <row r="76">
      <c r="J76" s="15"/>
      <c r="V76" s="15"/>
      <c r="W76" s="15"/>
    </row>
    <row r="77">
      <c r="J77" s="15"/>
      <c r="V77" s="15"/>
      <c r="W77" s="15"/>
    </row>
    <row r="78">
      <c r="J78" s="15"/>
      <c r="V78" s="15"/>
      <c r="W78" s="15"/>
    </row>
    <row r="79">
      <c r="J79" s="15"/>
      <c r="V79" s="15"/>
      <c r="W79" s="15"/>
    </row>
    <row r="80">
      <c r="J80" s="15"/>
      <c r="V80" s="15"/>
      <c r="W80" s="15"/>
    </row>
    <row r="81">
      <c r="J81" s="15"/>
      <c r="V81" s="15"/>
      <c r="W81" s="15"/>
    </row>
    <row r="82">
      <c r="J82" s="15"/>
      <c r="V82" s="15"/>
      <c r="W82" s="15"/>
    </row>
    <row r="83">
      <c r="J83" s="15"/>
      <c r="V83" s="15"/>
      <c r="W83" s="15"/>
    </row>
    <row r="84">
      <c r="J84" s="15"/>
      <c r="V84" s="15"/>
      <c r="W84" s="15"/>
    </row>
    <row r="85">
      <c r="J85" s="15"/>
      <c r="V85" s="15"/>
      <c r="W85" s="15"/>
    </row>
    <row r="86">
      <c r="J86" s="15"/>
      <c r="V86" s="15"/>
      <c r="W86" s="15"/>
    </row>
    <row r="87">
      <c r="J87" s="15"/>
      <c r="V87" s="15"/>
      <c r="W87" s="15"/>
    </row>
    <row r="88">
      <c r="J88" s="15"/>
      <c r="V88" s="15"/>
      <c r="W88" s="15"/>
    </row>
    <row r="89">
      <c r="J89" s="15"/>
      <c r="V89" s="15"/>
      <c r="W89" s="15"/>
    </row>
    <row r="90">
      <c r="J90" s="15"/>
      <c r="V90" s="15"/>
      <c r="W90" s="15"/>
    </row>
    <row r="91">
      <c r="J91" s="15"/>
      <c r="V91" s="15"/>
      <c r="W91" s="15"/>
    </row>
    <row r="92">
      <c r="J92" s="15"/>
      <c r="V92" s="15"/>
      <c r="W92" s="15"/>
    </row>
    <row r="93">
      <c r="J93" s="15"/>
      <c r="V93" s="15"/>
      <c r="W93" s="15"/>
    </row>
    <row r="94">
      <c r="J94" s="15"/>
      <c r="V94" s="15"/>
      <c r="W94" s="15"/>
    </row>
    <row r="95">
      <c r="J95" s="15"/>
      <c r="V95" s="15"/>
      <c r="W95" s="15"/>
    </row>
    <row r="96">
      <c r="J96" s="15"/>
      <c r="V96" s="15"/>
      <c r="W96" s="15"/>
    </row>
    <row r="97">
      <c r="J97" s="15"/>
      <c r="V97" s="15"/>
      <c r="W97" s="15"/>
    </row>
    <row r="98">
      <c r="J98" s="15"/>
      <c r="V98" s="15"/>
      <c r="W98" s="15"/>
    </row>
    <row r="99">
      <c r="J99" s="15"/>
      <c r="V99" s="15"/>
      <c r="W99" s="15"/>
    </row>
    <row r="100">
      <c r="J100" s="15"/>
      <c r="V100" s="15"/>
      <c r="W100" s="15"/>
    </row>
    <row r="101">
      <c r="J101" s="15"/>
      <c r="V101" s="15"/>
      <c r="W101" s="15"/>
    </row>
    <row r="102">
      <c r="J102" s="15"/>
      <c r="V102" s="15"/>
      <c r="W102" s="15"/>
    </row>
    <row r="103">
      <c r="J103" s="15"/>
      <c r="V103" s="15"/>
      <c r="W103" s="15"/>
    </row>
    <row r="104">
      <c r="J104" s="15"/>
      <c r="V104" s="15"/>
      <c r="W104" s="15"/>
    </row>
    <row r="105">
      <c r="J105" s="15"/>
      <c r="V105" s="15"/>
      <c r="W105" s="15"/>
    </row>
    <row r="106">
      <c r="J106" s="15"/>
      <c r="V106" s="15"/>
      <c r="W106" s="15"/>
    </row>
    <row r="107">
      <c r="J107" s="15"/>
      <c r="V107" s="15"/>
      <c r="W107" s="15"/>
    </row>
    <row r="108">
      <c r="J108" s="15"/>
      <c r="V108" s="15"/>
      <c r="W108" s="15"/>
    </row>
    <row r="109">
      <c r="J109" s="15"/>
      <c r="V109" s="15"/>
      <c r="W109" s="15"/>
    </row>
    <row r="110">
      <c r="J110" s="15"/>
      <c r="V110" s="15"/>
      <c r="W110" s="15"/>
    </row>
    <row r="111">
      <c r="J111" s="15"/>
      <c r="V111" s="15"/>
      <c r="W111" s="15"/>
    </row>
    <row r="112">
      <c r="J112" s="15"/>
      <c r="V112" s="15"/>
      <c r="W112" s="15"/>
    </row>
    <row r="113">
      <c r="J113" s="15"/>
      <c r="V113" s="15"/>
      <c r="W113" s="15"/>
    </row>
    <row r="114">
      <c r="J114" s="15"/>
      <c r="V114" s="15"/>
      <c r="W114" s="15"/>
    </row>
    <row r="115">
      <c r="J115" s="15"/>
      <c r="V115" s="15"/>
      <c r="W115" s="15"/>
    </row>
    <row r="116">
      <c r="J116" s="15"/>
      <c r="V116" s="15"/>
      <c r="W116" s="15"/>
    </row>
    <row r="117">
      <c r="J117" s="15"/>
      <c r="V117" s="15"/>
      <c r="W117" s="15"/>
    </row>
    <row r="118">
      <c r="J118" s="15"/>
      <c r="V118" s="15"/>
      <c r="W118" s="15"/>
    </row>
    <row r="119">
      <c r="J119" s="15"/>
      <c r="V119" s="15"/>
      <c r="W119" s="15"/>
    </row>
    <row r="120">
      <c r="J120" s="15"/>
      <c r="V120" s="15"/>
      <c r="W120" s="15"/>
    </row>
    <row r="121">
      <c r="J121" s="15"/>
      <c r="V121" s="15"/>
      <c r="W121" s="15"/>
    </row>
    <row r="122">
      <c r="J122" s="15"/>
      <c r="V122" s="15"/>
      <c r="W122" s="15"/>
    </row>
    <row r="123">
      <c r="J123" s="15"/>
      <c r="V123" s="15"/>
      <c r="W123" s="15"/>
    </row>
    <row r="124">
      <c r="J124" s="15"/>
      <c r="V124" s="15"/>
      <c r="W124" s="15"/>
    </row>
    <row r="125">
      <c r="J125" s="15"/>
      <c r="V125" s="15"/>
      <c r="W125" s="15"/>
    </row>
    <row r="126">
      <c r="J126" s="15"/>
      <c r="V126" s="15"/>
      <c r="W126" s="15"/>
    </row>
    <row r="127">
      <c r="J127" s="15"/>
      <c r="V127" s="15"/>
      <c r="W127" s="15"/>
    </row>
    <row r="128">
      <c r="J128" s="15"/>
      <c r="V128" s="15"/>
      <c r="W128" s="15"/>
    </row>
    <row r="129">
      <c r="J129" s="15"/>
      <c r="V129" s="15"/>
      <c r="W129" s="15"/>
    </row>
    <row r="130">
      <c r="J130" s="15"/>
      <c r="V130" s="15"/>
      <c r="W130" s="15"/>
    </row>
    <row r="131">
      <c r="J131" s="15"/>
      <c r="V131" s="15"/>
      <c r="W131" s="15"/>
    </row>
    <row r="132">
      <c r="J132" s="15"/>
      <c r="V132" s="15"/>
      <c r="W132" s="15"/>
    </row>
    <row r="133">
      <c r="J133" s="15"/>
      <c r="V133" s="15"/>
      <c r="W133" s="15"/>
    </row>
    <row r="134">
      <c r="J134" s="15"/>
      <c r="V134" s="15"/>
      <c r="W134" s="15"/>
    </row>
    <row r="135">
      <c r="J135" s="15"/>
      <c r="V135" s="15"/>
      <c r="W135" s="15"/>
    </row>
    <row r="136">
      <c r="J136" s="15"/>
      <c r="V136" s="15"/>
      <c r="W136" s="15"/>
    </row>
    <row r="137">
      <c r="J137" s="15"/>
      <c r="V137" s="15"/>
      <c r="W137" s="15"/>
    </row>
    <row r="138">
      <c r="J138" s="15"/>
      <c r="V138" s="15"/>
      <c r="W138" s="15"/>
    </row>
    <row r="139">
      <c r="J139" s="15"/>
      <c r="V139" s="15"/>
      <c r="W139" s="15"/>
    </row>
    <row r="140">
      <c r="J140" s="15"/>
      <c r="V140" s="15"/>
      <c r="W140" s="15"/>
    </row>
    <row r="141">
      <c r="J141" s="15"/>
      <c r="V141" s="15"/>
      <c r="W141" s="15"/>
    </row>
    <row r="142">
      <c r="J142" s="15"/>
      <c r="V142" s="15"/>
      <c r="W142" s="15"/>
    </row>
    <row r="143">
      <c r="J143" s="15"/>
      <c r="V143" s="15"/>
      <c r="W143" s="15"/>
    </row>
    <row r="144">
      <c r="J144" s="15"/>
      <c r="V144" s="15"/>
      <c r="W144" s="15"/>
    </row>
    <row r="145">
      <c r="J145" s="15"/>
      <c r="V145" s="15"/>
      <c r="W145" s="15"/>
    </row>
    <row r="146">
      <c r="J146" s="15"/>
      <c r="V146" s="15"/>
      <c r="W146" s="15"/>
    </row>
    <row r="147">
      <c r="J147" s="15"/>
      <c r="V147" s="15"/>
      <c r="W147" s="15"/>
    </row>
    <row r="148">
      <c r="J148" s="15"/>
      <c r="V148" s="15"/>
      <c r="W148" s="15"/>
    </row>
    <row r="149">
      <c r="J149" s="15"/>
      <c r="V149" s="15"/>
      <c r="W149" s="15"/>
    </row>
    <row r="150">
      <c r="J150" s="15"/>
      <c r="V150" s="15"/>
      <c r="W150" s="15"/>
    </row>
    <row r="151">
      <c r="J151" s="15"/>
      <c r="V151" s="15"/>
      <c r="W151" s="15"/>
    </row>
    <row r="152">
      <c r="J152" s="15"/>
      <c r="V152" s="15"/>
      <c r="W152" s="15"/>
    </row>
    <row r="153">
      <c r="J153" s="15"/>
      <c r="V153" s="15"/>
      <c r="W153" s="15"/>
    </row>
    <row r="154">
      <c r="J154" s="15"/>
      <c r="V154" s="15"/>
      <c r="W154" s="15"/>
    </row>
    <row r="155">
      <c r="J155" s="15"/>
      <c r="V155" s="15"/>
      <c r="W155" s="15"/>
    </row>
    <row r="156">
      <c r="J156" s="15"/>
      <c r="V156" s="15"/>
      <c r="W156" s="15"/>
    </row>
    <row r="157">
      <c r="J157" s="15"/>
      <c r="V157" s="15"/>
      <c r="W157" s="15"/>
    </row>
    <row r="158">
      <c r="J158" s="15"/>
      <c r="V158" s="15"/>
      <c r="W158" s="15"/>
    </row>
    <row r="159">
      <c r="J159" s="15"/>
      <c r="V159" s="15"/>
      <c r="W159" s="15"/>
    </row>
    <row r="160">
      <c r="J160" s="15"/>
      <c r="V160" s="15"/>
      <c r="W160" s="15"/>
    </row>
    <row r="161">
      <c r="J161" s="15"/>
      <c r="V161" s="15"/>
      <c r="W161" s="15"/>
    </row>
    <row r="162">
      <c r="J162" s="15"/>
      <c r="V162" s="15"/>
      <c r="W162" s="15"/>
    </row>
    <row r="163">
      <c r="J163" s="15"/>
      <c r="V163" s="15"/>
      <c r="W163" s="15"/>
    </row>
    <row r="164">
      <c r="J164" s="15"/>
      <c r="V164" s="15"/>
      <c r="W164" s="15"/>
    </row>
    <row r="165">
      <c r="J165" s="15"/>
      <c r="V165" s="15"/>
      <c r="W165" s="15"/>
    </row>
    <row r="166">
      <c r="J166" s="15"/>
      <c r="V166" s="15"/>
      <c r="W166" s="15"/>
    </row>
    <row r="167">
      <c r="J167" s="15"/>
      <c r="V167" s="15"/>
      <c r="W167" s="15"/>
    </row>
    <row r="168">
      <c r="J168" s="15"/>
      <c r="V168" s="15"/>
      <c r="W168" s="15"/>
    </row>
    <row r="169">
      <c r="J169" s="15"/>
      <c r="V169" s="15"/>
      <c r="W169" s="15"/>
    </row>
    <row r="170">
      <c r="J170" s="15"/>
      <c r="V170" s="15"/>
      <c r="W170" s="15"/>
    </row>
    <row r="171">
      <c r="J171" s="15"/>
      <c r="V171" s="15"/>
      <c r="W171" s="15"/>
    </row>
    <row r="172">
      <c r="J172" s="15"/>
      <c r="V172" s="15"/>
      <c r="W172" s="15"/>
    </row>
    <row r="173">
      <c r="J173" s="15"/>
      <c r="V173" s="15"/>
      <c r="W173" s="15"/>
    </row>
    <row r="174">
      <c r="J174" s="15"/>
      <c r="V174" s="15"/>
      <c r="W174" s="15"/>
    </row>
    <row r="175">
      <c r="J175" s="15"/>
      <c r="V175" s="15"/>
      <c r="W175" s="15"/>
    </row>
    <row r="176">
      <c r="J176" s="15"/>
      <c r="V176" s="15"/>
      <c r="W176" s="15"/>
    </row>
    <row r="177">
      <c r="J177" s="15"/>
      <c r="V177" s="15"/>
      <c r="W177" s="15"/>
    </row>
    <row r="178">
      <c r="J178" s="15"/>
      <c r="V178" s="15"/>
      <c r="W178" s="15"/>
    </row>
    <row r="179">
      <c r="J179" s="15"/>
      <c r="V179" s="15"/>
      <c r="W179" s="15"/>
    </row>
    <row r="180">
      <c r="J180" s="15"/>
      <c r="V180" s="15"/>
      <c r="W180" s="15"/>
    </row>
    <row r="181">
      <c r="J181" s="15"/>
      <c r="V181" s="15"/>
      <c r="W181" s="15"/>
    </row>
    <row r="182">
      <c r="J182" s="15"/>
      <c r="V182" s="15"/>
      <c r="W182" s="15"/>
    </row>
    <row r="183">
      <c r="J183" s="15"/>
      <c r="V183" s="15"/>
      <c r="W183" s="15"/>
    </row>
    <row r="184">
      <c r="J184" s="15"/>
      <c r="V184" s="15"/>
      <c r="W184" s="15"/>
    </row>
    <row r="185">
      <c r="J185" s="15"/>
      <c r="V185" s="15"/>
      <c r="W185" s="15"/>
    </row>
    <row r="186">
      <c r="J186" s="15"/>
      <c r="V186" s="15"/>
      <c r="W186" s="15"/>
    </row>
    <row r="187">
      <c r="J187" s="15"/>
      <c r="V187" s="15"/>
      <c r="W187" s="15"/>
    </row>
    <row r="188">
      <c r="J188" s="15"/>
      <c r="V188" s="15"/>
      <c r="W188" s="15"/>
    </row>
    <row r="189">
      <c r="J189" s="15"/>
      <c r="V189" s="15"/>
      <c r="W189" s="15"/>
    </row>
    <row r="190">
      <c r="J190" s="15"/>
      <c r="V190" s="15"/>
      <c r="W190" s="15"/>
    </row>
    <row r="191">
      <c r="J191" s="15"/>
      <c r="V191" s="15"/>
      <c r="W191" s="15"/>
    </row>
    <row r="192">
      <c r="J192" s="15"/>
      <c r="V192" s="15"/>
      <c r="W192" s="15"/>
    </row>
    <row r="193">
      <c r="J193" s="15"/>
      <c r="V193" s="15"/>
      <c r="W193" s="15"/>
    </row>
    <row r="194">
      <c r="J194" s="15"/>
      <c r="V194" s="15"/>
      <c r="W194" s="15"/>
    </row>
    <row r="195">
      <c r="J195" s="15"/>
      <c r="V195" s="15"/>
      <c r="W195" s="15"/>
    </row>
    <row r="196">
      <c r="J196" s="15"/>
      <c r="V196" s="15"/>
      <c r="W196" s="15"/>
    </row>
    <row r="197">
      <c r="J197" s="15"/>
      <c r="V197" s="15"/>
      <c r="W197" s="15"/>
    </row>
    <row r="198">
      <c r="J198" s="15"/>
      <c r="V198" s="15"/>
      <c r="W198" s="15"/>
    </row>
    <row r="199">
      <c r="J199" s="15"/>
      <c r="V199" s="15"/>
      <c r="W199" s="15"/>
    </row>
    <row r="200">
      <c r="J200" s="15"/>
      <c r="V200" s="15"/>
      <c r="W200" s="15"/>
    </row>
    <row r="201">
      <c r="J201" s="15"/>
      <c r="V201" s="15"/>
      <c r="W201" s="15"/>
    </row>
    <row r="202">
      <c r="J202" s="15"/>
      <c r="V202" s="15"/>
      <c r="W202" s="15"/>
    </row>
    <row r="203">
      <c r="J203" s="15"/>
      <c r="V203" s="15"/>
      <c r="W203" s="15"/>
    </row>
    <row r="204">
      <c r="J204" s="15"/>
      <c r="V204" s="15"/>
      <c r="W204" s="15"/>
    </row>
    <row r="205">
      <c r="J205" s="15"/>
      <c r="V205" s="15"/>
      <c r="W205" s="15"/>
    </row>
    <row r="206">
      <c r="J206" s="15"/>
      <c r="V206" s="15"/>
      <c r="W206" s="15"/>
    </row>
    <row r="207">
      <c r="J207" s="15"/>
      <c r="V207" s="15"/>
      <c r="W207" s="15"/>
    </row>
    <row r="208">
      <c r="J208" s="15"/>
      <c r="V208" s="15"/>
      <c r="W208" s="15"/>
    </row>
    <row r="209">
      <c r="J209" s="15"/>
      <c r="V209" s="15"/>
      <c r="W209" s="15"/>
    </row>
    <row r="210">
      <c r="J210" s="15"/>
      <c r="V210" s="15"/>
      <c r="W210" s="15"/>
    </row>
    <row r="211">
      <c r="J211" s="15"/>
      <c r="V211" s="15"/>
      <c r="W211" s="15"/>
    </row>
    <row r="212">
      <c r="J212" s="15"/>
      <c r="V212" s="15"/>
      <c r="W212" s="15"/>
    </row>
    <row r="213">
      <c r="J213" s="15"/>
      <c r="V213" s="15"/>
      <c r="W213" s="15"/>
    </row>
    <row r="214">
      <c r="J214" s="15"/>
      <c r="V214" s="15"/>
      <c r="W214" s="15"/>
    </row>
    <row r="215">
      <c r="J215" s="15"/>
      <c r="V215" s="15"/>
      <c r="W215" s="15"/>
    </row>
    <row r="216">
      <c r="J216" s="15"/>
      <c r="V216" s="15"/>
      <c r="W216" s="15"/>
    </row>
    <row r="217">
      <c r="J217" s="15"/>
      <c r="V217" s="15"/>
      <c r="W217" s="15"/>
    </row>
    <row r="218">
      <c r="J218" s="15"/>
      <c r="V218" s="15"/>
      <c r="W218" s="15"/>
    </row>
    <row r="219">
      <c r="J219" s="15"/>
      <c r="V219" s="15"/>
      <c r="W219" s="15"/>
    </row>
    <row r="220">
      <c r="J220" s="15"/>
      <c r="V220" s="15"/>
      <c r="W220" s="15"/>
    </row>
    <row r="221">
      <c r="J221" s="15"/>
      <c r="V221" s="15"/>
      <c r="W221" s="15"/>
    </row>
    <row r="222">
      <c r="J222" s="15"/>
      <c r="V222" s="15"/>
      <c r="W222" s="15"/>
    </row>
    <row r="223">
      <c r="J223" s="15"/>
      <c r="V223" s="15"/>
      <c r="W223" s="15"/>
    </row>
    <row r="224">
      <c r="J224" s="15"/>
      <c r="V224" s="15"/>
      <c r="W224" s="15"/>
    </row>
    <row r="225">
      <c r="J225" s="15"/>
      <c r="V225" s="15"/>
      <c r="W225" s="15"/>
    </row>
    <row r="226">
      <c r="J226" s="15"/>
      <c r="V226" s="15"/>
      <c r="W226" s="15"/>
    </row>
    <row r="227">
      <c r="J227" s="15"/>
      <c r="V227" s="15"/>
      <c r="W227" s="15"/>
    </row>
    <row r="228">
      <c r="J228" s="15"/>
      <c r="V228" s="15"/>
      <c r="W228" s="15"/>
    </row>
    <row r="229">
      <c r="J229" s="15"/>
      <c r="V229" s="15"/>
      <c r="W229" s="15"/>
    </row>
    <row r="230">
      <c r="J230" s="15"/>
      <c r="V230" s="15"/>
      <c r="W230" s="15"/>
    </row>
    <row r="231">
      <c r="J231" s="15"/>
      <c r="V231" s="15"/>
      <c r="W231" s="15"/>
    </row>
    <row r="232">
      <c r="J232" s="15"/>
      <c r="V232" s="15"/>
      <c r="W232" s="15"/>
    </row>
    <row r="233">
      <c r="J233" s="15"/>
      <c r="V233" s="15"/>
      <c r="W233" s="15"/>
    </row>
    <row r="234">
      <c r="J234" s="15"/>
      <c r="V234" s="15"/>
      <c r="W234" s="15"/>
    </row>
    <row r="235">
      <c r="J235" s="15"/>
      <c r="V235" s="15"/>
      <c r="W235" s="15"/>
    </row>
    <row r="236">
      <c r="J236" s="15"/>
      <c r="V236" s="15"/>
      <c r="W236" s="15"/>
    </row>
    <row r="237">
      <c r="J237" s="15"/>
      <c r="V237" s="15"/>
      <c r="W237" s="15"/>
    </row>
    <row r="238">
      <c r="J238" s="15"/>
      <c r="V238" s="15"/>
      <c r="W238" s="15"/>
    </row>
    <row r="239">
      <c r="J239" s="15"/>
      <c r="V239" s="15"/>
      <c r="W239" s="15"/>
    </row>
    <row r="240">
      <c r="J240" s="15"/>
      <c r="V240" s="15"/>
      <c r="W240" s="15"/>
    </row>
    <row r="241">
      <c r="J241" s="15"/>
      <c r="V241" s="15"/>
      <c r="W241" s="15"/>
    </row>
    <row r="242">
      <c r="J242" s="15"/>
      <c r="V242" s="15"/>
      <c r="W242" s="15"/>
    </row>
    <row r="243">
      <c r="J243" s="15"/>
      <c r="V243" s="15"/>
      <c r="W243" s="15"/>
    </row>
    <row r="244">
      <c r="J244" s="15"/>
      <c r="V244" s="15"/>
      <c r="W244" s="15"/>
    </row>
    <row r="245">
      <c r="J245" s="15"/>
      <c r="V245" s="15"/>
      <c r="W245" s="15"/>
    </row>
    <row r="246">
      <c r="J246" s="15"/>
      <c r="V246" s="15"/>
      <c r="W246" s="15"/>
    </row>
    <row r="247">
      <c r="J247" s="15"/>
      <c r="V247" s="15"/>
      <c r="W247" s="15"/>
    </row>
    <row r="248">
      <c r="J248" s="15"/>
      <c r="V248" s="15"/>
      <c r="W248" s="15"/>
    </row>
    <row r="249">
      <c r="J249" s="15"/>
      <c r="V249" s="15"/>
      <c r="W249" s="15"/>
    </row>
    <row r="250">
      <c r="J250" s="15"/>
      <c r="V250" s="15"/>
      <c r="W250" s="15"/>
    </row>
    <row r="251">
      <c r="J251" s="15"/>
      <c r="V251" s="15"/>
      <c r="W251" s="15"/>
    </row>
    <row r="252">
      <c r="J252" s="15"/>
      <c r="V252" s="15"/>
      <c r="W252" s="15"/>
    </row>
    <row r="253">
      <c r="J253" s="15"/>
      <c r="V253" s="15"/>
      <c r="W253" s="15"/>
    </row>
    <row r="254">
      <c r="J254" s="15"/>
      <c r="V254" s="15"/>
      <c r="W254" s="15"/>
    </row>
    <row r="255">
      <c r="J255" s="15"/>
      <c r="V255" s="15"/>
      <c r="W255" s="15"/>
    </row>
    <row r="256">
      <c r="J256" s="15"/>
      <c r="V256" s="15"/>
      <c r="W256" s="15"/>
    </row>
    <row r="257">
      <c r="J257" s="15"/>
      <c r="V257" s="15"/>
      <c r="W257" s="15"/>
    </row>
    <row r="258">
      <c r="J258" s="15"/>
      <c r="V258" s="15"/>
      <c r="W258" s="15"/>
    </row>
    <row r="259">
      <c r="J259" s="15"/>
      <c r="V259" s="15"/>
      <c r="W259" s="15"/>
    </row>
    <row r="260">
      <c r="J260" s="15"/>
      <c r="V260" s="15"/>
      <c r="W260" s="15"/>
    </row>
    <row r="261">
      <c r="J261" s="15"/>
      <c r="V261" s="15"/>
      <c r="W261" s="15"/>
    </row>
    <row r="262">
      <c r="J262" s="15"/>
      <c r="V262" s="15"/>
      <c r="W262" s="15"/>
    </row>
    <row r="263">
      <c r="J263" s="15"/>
      <c r="V263" s="15"/>
      <c r="W263" s="15"/>
    </row>
    <row r="264">
      <c r="J264" s="15"/>
      <c r="V264" s="15"/>
      <c r="W264" s="15"/>
    </row>
    <row r="265">
      <c r="J265" s="15"/>
      <c r="V265" s="15"/>
      <c r="W265" s="15"/>
    </row>
    <row r="266">
      <c r="J266" s="15"/>
      <c r="V266" s="15"/>
      <c r="W266" s="15"/>
    </row>
    <row r="267">
      <c r="J267" s="15"/>
      <c r="V267" s="15"/>
      <c r="W267" s="15"/>
    </row>
    <row r="268">
      <c r="J268" s="15"/>
      <c r="V268" s="15"/>
      <c r="W268" s="15"/>
    </row>
    <row r="269">
      <c r="J269" s="15"/>
      <c r="V269" s="15"/>
      <c r="W269" s="15"/>
    </row>
    <row r="270">
      <c r="J270" s="15"/>
      <c r="V270" s="15"/>
      <c r="W270" s="15"/>
    </row>
    <row r="271">
      <c r="J271" s="15"/>
      <c r="V271" s="15"/>
      <c r="W271" s="15"/>
    </row>
    <row r="272">
      <c r="J272" s="15"/>
      <c r="V272" s="15"/>
      <c r="W272" s="15"/>
    </row>
    <row r="273">
      <c r="J273" s="15"/>
      <c r="V273" s="15"/>
      <c r="W273" s="15"/>
    </row>
    <row r="274">
      <c r="J274" s="15"/>
      <c r="V274" s="15"/>
      <c r="W274" s="15"/>
    </row>
    <row r="275">
      <c r="J275" s="15"/>
      <c r="V275" s="15"/>
      <c r="W275" s="15"/>
    </row>
    <row r="276">
      <c r="J276" s="15"/>
      <c r="V276" s="15"/>
      <c r="W276" s="15"/>
    </row>
    <row r="277">
      <c r="J277" s="15"/>
      <c r="V277" s="15"/>
      <c r="W277" s="15"/>
    </row>
    <row r="278">
      <c r="J278" s="15"/>
      <c r="V278" s="15"/>
      <c r="W278" s="15"/>
    </row>
    <row r="279">
      <c r="J279" s="15"/>
      <c r="V279" s="15"/>
      <c r="W279" s="15"/>
    </row>
    <row r="280">
      <c r="J280" s="15"/>
      <c r="V280" s="15"/>
      <c r="W280" s="15"/>
    </row>
    <row r="281">
      <c r="J281" s="15"/>
      <c r="V281" s="15"/>
      <c r="W281" s="15"/>
    </row>
    <row r="282">
      <c r="J282" s="15"/>
      <c r="V282" s="15"/>
      <c r="W282" s="15"/>
    </row>
    <row r="283">
      <c r="J283" s="15"/>
      <c r="V283" s="15"/>
      <c r="W283" s="15"/>
    </row>
    <row r="284">
      <c r="J284" s="15"/>
      <c r="V284" s="15"/>
      <c r="W284" s="15"/>
    </row>
    <row r="285">
      <c r="J285" s="15"/>
      <c r="V285" s="15"/>
      <c r="W285" s="15"/>
    </row>
    <row r="286">
      <c r="J286" s="15"/>
      <c r="V286" s="15"/>
      <c r="W286" s="15"/>
    </row>
    <row r="287">
      <c r="J287" s="15"/>
      <c r="V287" s="15"/>
      <c r="W287" s="15"/>
    </row>
    <row r="288">
      <c r="J288" s="15"/>
      <c r="V288" s="15"/>
      <c r="W288" s="15"/>
    </row>
    <row r="289">
      <c r="J289" s="15"/>
      <c r="V289" s="15"/>
      <c r="W289" s="15"/>
    </row>
    <row r="290">
      <c r="J290" s="15"/>
      <c r="V290" s="15"/>
      <c r="W290" s="15"/>
    </row>
    <row r="291">
      <c r="J291" s="15"/>
      <c r="V291" s="15"/>
      <c r="W291" s="15"/>
    </row>
    <row r="292">
      <c r="J292" s="15"/>
      <c r="V292" s="15"/>
      <c r="W292" s="15"/>
    </row>
    <row r="293">
      <c r="J293" s="15"/>
      <c r="V293" s="15"/>
      <c r="W293" s="15"/>
    </row>
    <row r="294">
      <c r="J294" s="15"/>
      <c r="V294" s="15"/>
      <c r="W294" s="15"/>
    </row>
    <row r="295">
      <c r="J295" s="15"/>
      <c r="V295" s="15"/>
      <c r="W295" s="15"/>
    </row>
    <row r="296">
      <c r="J296" s="15"/>
      <c r="V296" s="15"/>
      <c r="W296" s="15"/>
    </row>
    <row r="297">
      <c r="J297" s="15"/>
      <c r="V297" s="15"/>
      <c r="W297" s="15"/>
    </row>
    <row r="298">
      <c r="J298" s="15"/>
      <c r="V298" s="15"/>
      <c r="W298" s="15"/>
    </row>
    <row r="299">
      <c r="J299" s="15"/>
      <c r="V299" s="15"/>
      <c r="W299" s="15"/>
    </row>
    <row r="300">
      <c r="J300" s="15"/>
      <c r="V300" s="15"/>
      <c r="W300" s="15"/>
    </row>
    <row r="301">
      <c r="J301" s="15"/>
      <c r="V301" s="15"/>
      <c r="W301" s="15"/>
    </row>
    <row r="302">
      <c r="J302" s="15"/>
      <c r="V302" s="15"/>
      <c r="W302" s="15"/>
    </row>
    <row r="303">
      <c r="J303" s="15"/>
      <c r="V303" s="15"/>
      <c r="W303" s="15"/>
    </row>
    <row r="304">
      <c r="J304" s="15"/>
      <c r="V304" s="15"/>
      <c r="W304" s="15"/>
    </row>
    <row r="305">
      <c r="J305" s="15"/>
      <c r="V305" s="15"/>
      <c r="W305" s="15"/>
    </row>
    <row r="306">
      <c r="J306" s="15"/>
      <c r="V306" s="15"/>
      <c r="W306" s="15"/>
    </row>
    <row r="307">
      <c r="J307" s="15"/>
      <c r="V307" s="15"/>
      <c r="W307" s="15"/>
    </row>
    <row r="308">
      <c r="J308" s="15"/>
      <c r="V308" s="15"/>
      <c r="W308" s="15"/>
    </row>
    <row r="309">
      <c r="J309" s="15"/>
      <c r="V309" s="15"/>
      <c r="W309" s="15"/>
    </row>
    <row r="310">
      <c r="J310" s="15"/>
      <c r="V310" s="15"/>
      <c r="W310" s="15"/>
    </row>
    <row r="311">
      <c r="J311" s="15"/>
      <c r="V311" s="15"/>
      <c r="W311" s="15"/>
    </row>
    <row r="312">
      <c r="J312" s="15"/>
      <c r="V312" s="15"/>
      <c r="W312" s="15"/>
    </row>
    <row r="313">
      <c r="J313" s="15"/>
      <c r="V313" s="15"/>
      <c r="W313" s="15"/>
    </row>
    <row r="314">
      <c r="J314" s="15"/>
      <c r="V314" s="15"/>
      <c r="W314" s="15"/>
    </row>
    <row r="315">
      <c r="J315" s="15"/>
      <c r="V315" s="15"/>
      <c r="W315" s="15"/>
    </row>
    <row r="316">
      <c r="J316" s="15"/>
      <c r="V316" s="15"/>
      <c r="W316" s="15"/>
    </row>
    <row r="317">
      <c r="J317" s="15"/>
      <c r="V317" s="15"/>
      <c r="W317" s="15"/>
    </row>
    <row r="318">
      <c r="J318" s="15"/>
      <c r="V318" s="15"/>
      <c r="W318" s="15"/>
    </row>
    <row r="319">
      <c r="J319" s="15"/>
      <c r="V319" s="15"/>
      <c r="W319" s="15"/>
    </row>
    <row r="320">
      <c r="J320" s="15"/>
      <c r="V320" s="15"/>
      <c r="W320" s="15"/>
    </row>
    <row r="321">
      <c r="J321" s="15"/>
      <c r="V321" s="15"/>
      <c r="W321" s="15"/>
    </row>
    <row r="322">
      <c r="J322" s="15"/>
      <c r="V322" s="15"/>
      <c r="W322" s="15"/>
    </row>
    <row r="323">
      <c r="J323" s="15"/>
      <c r="V323" s="15"/>
      <c r="W323" s="15"/>
    </row>
    <row r="324">
      <c r="J324" s="15"/>
      <c r="V324" s="15"/>
      <c r="W324" s="15"/>
    </row>
    <row r="325">
      <c r="J325" s="15"/>
      <c r="V325" s="15"/>
      <c r="W325" s="15"/>
    </row>
    <row r="326">
      <c r="J326" s="15"/>
      <c r="V326" s="15"/>
      <c r="W326" s="15"/>
    </row>
    <row r="327">
      <c r="J327" s="15"/>
      <c r="V327" s="15"/>
      <c r="W327" s="15"/>
    </row>
    <row r="328">
      <c r="J328" s="15"/>
      <c r="V328" s="15"/>
      <c r="W328" s="15"/>
    </row>
    <row r="329">
      <c r="J329" s="15"/>
      <c r="V329" s="15"/>
      <c r="W329" s="15"/>
    </row>
    <row r="330">
      <c r="J330" s="15"/>
      <c r="V330" s="15"/>
      <c r="W330" s="15"/>
    </row>
    <row r="331">
      <c r="J331" s="15"/>
      <c r="V331" s="15"/>
      <c r="W331" s="15"/>
    </row>
    <row r="332">
      <c r="J332" s="15"/>
      <c r="V332" s="15"/>
      <c r="W332" s="15"/>
    </row>
    <row r="333">
      <c r="J333" s="15"/>
      <c r="V333" s="15"/>
      <c r="W333" s="15"/>
    </row>
    <row r="334">
      <c r="J334" s="15"/>
      <c r="V334" s="15"/>
      <c r="W334" s="15"/>
    </row>
    <row r="335">
      <c r="J335" s="15"/>
      <c r="V335" s="15"/>
      <c r="W335" s="15"/>
    </row>
    <row r="336">
      <c r="J336" s="15"/>
      <c r="V336" s="15"/>
      <c r="W336" s="15"/>
    </row>
    <row r="337">
      <c r="J337" s="15"/>
      <c r="V337" s="15"/>
      <c r="W337" s="15"/>
    </row>
    <row r="338">
      <c r="J338" s="15"/>
      <c r="V338" s="15"/>
      <c r="W338" s="15"/>
    </row>
    <row r="339">
      <c r="J339" s="15"/>
      <c r="V339" s="15"/>
      <c r="W339" s="15"/>
    </row>
    <row r="340">
      <c r="J340" s="15"/>
      <c r="V340" s="15"/>
      <c r="W340" s="15"/>
    </row>
    <row r="341">
      <c r="J341" s="15"/>
      <c r="V341" s="15"/>
      <c r="W341" s="15"/>
    </row>
    <row r="342">
      <c r="J342" s="15"/>
      <c r="V342" s="15"/>
      <c r="W342" s="15"/>
    </row>
    <row r="343">
      <c r="J343" s="15"/>
      <c r="V343" s="15"/>
      <c r="W343" s="15"/>
    </row>
    <row r="344">
      <c r="J344" s="15"/>
      <c r="V344" s="15"/>
      <c r="W344" s="15"/>
    </row>
    <row r="345">
      <c r="J345" s="15"/>
      <c r="V345" s="15"/>
      <c r="W345" s="15"/>
    </row>
    <row r="346">
      <c r="J346" s="15"/>
      <c r="V346" s="15"/>
      <c r="W346" s="15"/>
    </row>
    <row r="347">
      <c r="J347" s="15"/>
      <c r="V347" s="15"/>
      <c r="W347" s="15"/>
    </row>
    <row r="348">
      <c r="J348" s="15"/>
      <c r="V348" s="15"/>
      <c r="W348" s="15"/>
    </row>
    <row r="349">
      <c r="J349" s="15"/>
      <c r="V349" s="15"/>
      <c r="W349" s="15"/>
    </row>
    <row r="350">
      <c r="J350" s="15"/>
      <c r="V350" s="15"/>
      <c r="W350" s="15"/>
    </row>
    <row r="351">
      <c r="J351" s="15"/>
      <c r="V351" s="15"/>
      <c r="W351" s="15"/>
    </row>
    <row r="352">
      <c r="J352" s="15"/>
      <c r="V352" s="15"/>
      <c r="W352" s="15"/>
    </row>
    <row r="353">
      <c r="J353" s="15"/>
      <c r="V353" s="15"/>
      <c r="W353" s="15"/>
    </row>
    <row r="354">
      <c r="J354" s="15"/>
      <c r="V354" s="15"/>
      <c r="W354" s="15"/>
    </row>
    <row r="355">
      <c r="J355" s="15"/>
      <c r="V355" s="15"/>
      <c r="W355" s="15"/>
    </row>
    <row r="356">
      <c r="J356" s="15"/>
      <c r="V356" s="15"/>
      <c r="W356" s="15"/>
    </row>
    <row r="357">
      <c r="J357" s="15"/>
      <c r="V357" s="15"/>
      <c r="W357" s="15"/>
    </row>
    <row r="358">
      <c r="J358" s="15"/>
      <c r="V358" s="15"/>
      <c r="W358" s="15"/>
    </row>
    <row r="359">
      <c r="J359" s="15"/>
      <c r="V359" s="15"/>
      <c r="W359" s="15"/>
    </row>
    <row r="360">
      <c r="J360" s="15"/>
      <c r="V360" s="15"/>
      <c r="W360" s="15"/>
    </row>
    <row r="361">
      <c r="J361" s="15"/>
      <c r="V361" s="15"/>
      <c r="W361" s="15"/>
    </row>
    <row r="362">
      <c r="J362" s="15"/>
      <c r="V362" s="15"/>
      <c r="W362" s="15"/>
    </row>
    <row r="363">
      <c r="J363" s="15"/>
      <c r="V363" s="15"/>
      <c r="W363" s="15"/>
    </row>
    <row r="364">
      <c r="J364" s="15"/>
      <c r="V364" s="15"/>
      <c r="W364" s="15"/>
    </row>
    <row r="365">
      <c r="J365" s="15"/>
      <c r="V365" s="15"/>
      <c r="W365" s="15"/>
    </row>
    <row r="366">
      <c r="J366" s="15"/>
      <c r="V366" s="15"/>
      <c r="W366" s="15"/>
    </row>
    <row r="367">
      <c r="J367" s="15"/>
      <c r="V367" s="15"/>
      <c r="W367" s="15"/>
    </row>
    <row r="368">
      <c r="J368" s="15"/>
      <c r="V368" s="15"/>
      <c r="W368" s="15"/>
    </row>
    <row r="369">
      <c r="J369" s="15"/>
      <c r="V369" s="15"/>
      <c r="W369" s="15"/>
    </row>
    <row r="370">
      <c r="J370" s="15"/>
      <c r="V370" s="15"/>
      <c r="W370" s="15"/>
    </row>
    <row r="371">
      <c r="J371" s="15"/>
      <c r="V371" s="15"/>
      <c r="W371" s="15"/>
    </row>
    <row r="372">
      <c r="J372" s="15"/>
      <c r="V372" s="15"/>
      <c r="W372" s="15"/>
    </row>
    <row r="373">
      <c r="J373" s="15"/>
      <c r="V373" s="15"/>
      <c r="W373" s="15"/>
    </row>
    <row r="374">
      <c r="J374" s="15"/>
      <c r="V374" s="15"/>
      <c r="W374" s="15"/>
    </row>
    <row r="375">
      <c r="J375" s="15"/>
      <c r="V375" s="15"/>
      <c r="W375" s="15"/>
    </row>
    <row r="376">
      <c r="J376" s="15"/>
      <c r="V376" s="15"/>
      <c r="W376" s="15"/>
    </row>
    <row r="377">
      <c r="J377" s="15"/>
      <c r="V377" s="15"/>
      <c r="W377" s="15"/>
    </row>
    <row r="378">
      <c r="J378" s="15"/>
      <c r="V378" s="15"/>
      <c r="W378" s="15"/>
    </row>
    <row r="379">
      <c r="J379" s="15"/>
      <c r="V379" s="15"/>
      <c r="W379" s="15"/>
    </row>
    <row r="380">
      <c r="J380" s="15"/>
      <c r="V380" s="15"/>
      <c r="W380" s="15"/>
    </row>
    <row r="381">
      <c r="J381" s="15"/>
      <c r="V381" s="15"/>
      <c r="W381" s="15"/>
    </row>
    <row r="382">
      <c r="J382" s="15"/>
      <c r="V382" s="15"/>
      <c r="W382" s="15"/>
    </row>
    <row r="383">
      <c r="J383" s="15"/>
      <c r="V383" s="15"/>
      <c r="W383" s="15"/>
    </row>
    <row r="384">
      <c r="J384" s="15"/>
      <c r="V384" s="15"/>
      <c r="W384" s="15"/>
    </row>
    <row r="385">
      <c r="J385" s="15"/>
      <c r="V385" s="15"/>
      <c r="W385" s="15"/>
    </row>
    <row r="386">
      <c r="J386" s="15"/>
      <c r="V386" s="15"/>
      <c r="W386" s="15"/>
    </row>
    <row r="387">
      <c r="J387" s="15"/>
      <c r="V387" s="15"/>
      <c r="W387" s="15"/>
    </row>
    <row r="388">
      <c r="J388" s="15"/>
      <c r="V388" s="15"/>
      <c r="W388" s="15"/>
    </row>
    <row r="389">
      <c r="J389" s="15"/>
      <c r="V389" s="15"/>
      <c r="W389" s="15"/>
    </row>
    <row r="390">
      <c r="J390" s="15"/>
      <c r="V390" s="15"/>
      <c r="W390" s="15"/>
    </row>
    <row r="391">
      <c r="J391" s="15"/>
      <c r="V391" s="15"/>
      <c r="W391" s="15"/>
    </row>
    <row r="392">
      <c r="J392" s="15"/>
      <c r="V392" s="15"/>
      <c r="W392" s="15"/>
    </row>
    <row r="393">
      <c r="J393" s="15"/>
      <c r="V393" s="15"/>
      <c r="W393" s="15"/>
    </row>
    <row r="394">
      <c r="J394" s="15"/>
      <c r="V394" s="15"/>
      <c r="W394" s="15"/>
    </row>
    <row r="395">
      <c r="J395" s="15"/>
      <c r="V395" s="15"/>
      <c r="W395" s="15"/>
    </row>
    <row r="396">
      <c r="J396" s="15"/>
      <c r="V396" s="15"/>
      <c r="W396" s="15"/>
    </row>
    <row r="397">
      <c r="J397" s="15"/>
      <c r="V397" s="15"/>
      <c r="W397" s="15"/>
    </row>
    <row r="398">
      <c r="J398" s="15"/>
      <c r="V398" s="15"/>
      <c r="W398" s="15"/>
    </row>
    <row r="399">
      <c r="J399" s="15"/>
      <c r="V399" s="15"/>
      <c r="W399" s="15"/>
    </row>
    <row r="400">
      <c r="J400" s="15"/>
      <c r="V400" s="15"/>
      <c r="W400" s="15"/>
    </row>
    <row r="401">
      <c r="J401" s="15"/>
      <c r="V401" s="15"/>
      <c r="W401" s="15"/>
    </row>
    <row r="402">
      <c r="J402" s="15"/>
      <c r="V402" s="15"/>
      <c r="W402" s="15"/>
    </row>
    <row r="403">
      <c r="J403" s="15"/>
      <c r="V403" s="15"/>
      <c r="W403" s="15"/>
    </row>
    <row r="404">
      <c r="J404" s="15"/>
      <c r="V404" s="15"/>
      <c r="W404" s="15"/>
    </row>
    <row r="405">
      <c r="J405" s="15"/>
      <c r="V405" s="15"/>
      <c r="W405" s="15"/>
    </row>
    <row r="406">
      <c r="J406" s="15"/>
      <c r="V406" s="15"/>
      <c r="W406" s="15"/>
    </row>
    <row r="407">
      <c r="J407" s="15"/>
      <c r="V407" s="15"/>
      <c r="W407" s="15"/>
    </row>
    <row r="408">
      <c r="J408" s="15"/>
      <c r="V408" s="15"/>
      <c r="W408" s="15"/>
    </row>
    <row r="409">
      <c r="J409" s="15"/>
      <c r="V409" s="15"/>
      <c r="W409" s="15"/>
    </row>
    <row r="410">
      <c r="J410" s="15"/>
      <c r="V410" s="15"/>
      <c r="W410" s="15"/>
    </row>
    <row r="411">
      <c r="J411" s="15"/>
      <c r="V411" s="15"/>
      <c r="W411" s="15"/>
    </row>
    <row r="412">
      <c r="J412" s="15"/>
      <c r="V412" s="15"/>
      <c r="W412" s="15"/>
    </row>
    <row r="413">
      <c r="J413" s="15"/>
      <c r="V413" s="15"/>
      <c r="W413" s="15"/>
    </row>
    <row r="414">
      <c r="J414" s="15"/>
      <c r="V414" s="15"/>
      <c r="W414" s="15"/>
    </row>
    <row r="415">
      <c r="J415" s="15"/>
      <c r="V415" s="15"/>
      <c r="W415" s="15"/>
    </row>
    <row r="416">
      <c r="J416" s="15"/>
      <c r="V416" s="15"/>
      <c r="W416" s="15"/>
    </row>
    <row r="417">
      <c r="J417" s="15"/>
      <c r="V417" s="15"/>
      <c r="W417" s="15"/>
    </row>
    <row r="418">
      <c r="J418" s="15"/>
      <c r="V418" s="15"/>
      <c r="W418" s="15"/>
    </row>
    <row r="419">
      <c r="J419" s="15"/>
      <c r="V419" s="15"/>
      <c r="W419" s="15"/>
    </row>
    <row r="420">
      <c r="J420" s="15"/>
      <c r="V420" s="15"/>
      <c r="W420" s="15"/>
    </row>
    <row r="421">
      <c r="J421" s="15"/>
      <c r="V421" s="15"/>
      <c r="W421" s="15"/>
    </row>
    <row r="422">
      <c r="J422" s="15"/>
      <c r="V422" s="15"/>
      <c r="W422" s="15"/>
    </row>
    <row r="423">
      <c r="J423" s="15"/>
      <c r="V423" s="15"/>
      <c r="W423" s="15"/>
    </row>
    <row r="424">
      <c r="J424" s="15"/>
      <c r="V424" s="15"/>
      <c r="W424" s="15"/>
    </row>
    <row r="425">
      <c r="J425" s="15"/>
      <c r="V425" s="15"/>
      <c r="W425" s="15"/>
    </row>
    <row r="426">
      <c r="J426" s="15"/>
      <c r="V426" s="15"/>
      <c r="W426" s="15"/>
    </row>
    <row r="427">
      <c r="J427" s="15"/>
      <c r="V427" s="15"/>
      <c r="W427" s="15"/>
    </row>
    <row r="428">
      <c r="J428" s="15"/>
      <c r="V428" s="15"/>
      <c r="W428" s="15"/>
    </row>
    <row r="429">
      <c r="J429" s="15"/>
      <c r="V429" s="15"/>
      <c r="W429" s="15"/>
    </row>
    <row r="430">
      <c r="J430" s="15"/>
      <c r="V430" s="15"/>
      <c r="W430" s="15"/>
    </row>
    <row r="431">
      <c r="J431" s="15"/>
      <c r="V431" s="15"/>
      <c r="W431" s="15"/>
    </row>
    <row r="432">
      <c r="J432" s="15"/>
      <c r="V432" s="15"/>
      <c r="W432" s="15"/>
    </row>
    <row r="433">
      <c r="J433" s="15"/>
      <c r="V433" s="15"/>
      <c r="W433" s="15"/>
    </row>
    <row r="434">
      <c r="J434" s="15"/>
      <c r="V434" s="15"/>
      <c r="W434" s="15"/>
    </row>
    <row r="435">
      <c r="J435" s="15"/>
      <c r="V435" s="15"/>
      <c r="W435" s="15"/>
    </row>
    <row r="436">
      <c r="J436" s="15"/>
      <c r="V436" s="15"/>
      <c r="W436" s="15"/>
    </row>
    <row r="437">
      <c r="J437" s="15"/>
      <c r="V437" s="15"/>
      <c r="W437" s="15"/>
    </row>
    <row r="438">
      <c r="J438" s="15"/>
      <c r="V438" s="15"/>
      <c r="W438" s="15"/>
    </row>
    <row r="439">
      <c r="J439" s="15"/>
      <c r="V439" s="15"/>
      <c r="W439" s="15"/>
    </row>
    <row r="440">
      <c r="J440" s="15"/>
      <c r="V440" s="15"/>
      <c r="W440" s="15"/>
    </row>
    <row r="441">
      <c r="J441" s="15"/>
      <c r="V441" s="15"/>
      <c r="W441" s="15"/>
    </row>
    <row r="442">
      <c r="J442" s="15"/>
      <c r="V442" s="15"/>
      <c r="W442" s="15"/>
    </row>
    <row r="443">
      <c r="J443" s="15"/>
      <c r="V443" s="15"/>
      <c r="W443" s="15"/>
    </row>
    <row r="444">
      <c r="J444" s="15"/>
      <c r="V444" s="15"/>
      <c r="W444" s="15"/>
    </row>
    <row r="445">
      <c r="J445" s="15"/>
      <c r="V445" s="15"/>
      <c r="W445" s="15"/>
    </row>
    <row r="446">
      <c r="J446" s="15"/>
      <c r="V446" s="15"/>
      <c r="W446" s="15"/>
    </row>
    <row r="447">
      <c r="J447" s="15"/>
      <c r="V447" s="15"/>
      <c r="W447" s="15"/>
    </row>
    <row r="448">
      <c r="J448" s="15"/>
      <c r="V448" s="15"/>
      <c r="W448" s="15"/>
    </row>
    <row r="449">
      <c r="J449" s="15"/>
      <c r="V449" s="15"/>
      <c r="W449" s="15"/>
    </row>
    <row r="450">
      <c r="J450" s="15"/>
      <c r="V450" s="15"/>
      <c r="W450" s="15"/>
    </row>
    <row r="451">
      <c r="J451" s="15"/>
      <c r="V451" s="15"/>
      <c r="W451" s="15"/>
    </row>
    <row r="452">
      <c r="J452" s="15"/>
      <c r="V452" s="15"/>
      <c r="W452" s="15"/>
    </row>
    <row r="453">
      <c r="J453" s="15"/>
      <c r="V453" s="15"/>
      <c r="W453" s="15"/>
    </row>
    <row r="454">
      <c r="J454" s="15"/>
      <c r="V454" s="15"/>
      <c r="W454" s="15"/>
    </row>
    <row r="455">
      <c r="J455" s="15"/>
      <c r="V455" s="15"/>
      <c r="W455" s="15"/>
    </row>
    <row r="456">
      <c r="J456" s="15"/>
      <c r="V456" s="15"/>
      <c r="W456" s="15"/>
    </row>
    <row r="457">
      <c r="J457" s="15"/>
      <c r="V457" s="15"/>
      <c r="W457" s="15"/>
    </row>
    <row r="458">
      <c r="J458" s="15"/>
      <c r="V458" s="15"/>
      <c r="W458" s="15"/>
    </row>
    <row r="459">
      <c r="J459" s="15"/>
      <c r="V459" s="15"/>
      <c r="W459" s="15"/>
    </row>
    <row r="460">
      <c r="J460" s="15"/>
      <c r="V460" s="15"/>
      <c r="W460" s="15"/>
    </row>
    <row r="461">
      <c r="J461" s="15"/>
      <c r="V461" s="15"/>
      <c r="W461" s="15"/>
    </row>
    <row r="462">
      <c r="J462" s="15"/>
      <c r="V462" s="15"/>
      <c r="W462" s="15"/>
    </row>
    <row r="463">
      <c r="J463" s="15"/>
      <c r="V463" s="15"/>
      <c r="W463" s="15"/>
    </row>
    <row r="464">
      <c r="J464" s="15"/>
      <c r="V464" s="15"/>
      <c r="W464" s="15"/>
    </row>
    <row r="465">
      <c r="J465" s="15"/>
      <c r="V465" s="15"/>
      <c r="W465" s="15"/>
    </row>
    <row r="466">
      <c r="J466" s="15"/>
      <c r="V466" s="15"/>
      <c r="W466" s="15"/>
    </row>
    <row r="467">
      <c r="J467" s="15"/>
      <c r="V467" s="15"/>
      <c r="W467" s="15"/>
    </row>
    <row r="468">
      <c r="J468" s="15"/>
      <c r="V468" s="15"/>
      <c r="W468" s="15"/>
    </row>
    <row r="469">
      <c r="J469" s="15"/>
      <c r="V469" s="15"/>
      <c r="W469" s="15"/>
    </row>
    <row r="470">
      <c r="J470" s="15"/>
      <c r="V470" s="15"/>
      <c r="W470" s="15"/>
    </row>
    <row r="471">
      <c r="J471" s="15"/>
      <c r="V471" s="15"/>
      <c r="W471" s="15"/>
    </row>
    <row r="472">
      <c r="J472" s="15"/>
      <c r="V472" s="15"/>
      <c r="W472" s="15"/>
    </row>
    <row r="473">
      <c r="J473" s="15"/>
      <c r="V473" s="15"/>
      <c r="W473" s="15"/>
    </row>
    <row r="474">
      <c r="J474" s="15"/>
      <c r="V474" s="15"/>
      <c r="W474" s="15"/>
    </row>
    <row r="475">
      <c r="J475" s="15"/>
      <c r="V475" s="15"/>
      <c r="W475" s="15"/>
    </row>
    <row r="476">
      <c r="J476" s="15"/>
      <c r="V476" s="15"/>
      <c r="W476" s="15"/>
    </row>
    <row r="477">
      <c r="J477" s="15"/>
      <c r="V477" s="15"/>
      <c r="W477" s="15"/>
    </row>
    <row r="478">
      <c r="J478" s="15"/>
      <c r="V478" s="15"/>
      <c r="W478" s="15"/>
    </row>
    <row r="479">
      <c r="J479" s="15"/>
      <c r="V479" s="15"/>
      <c r="W479" s="15"/>
    </row>
    <row r="480">
      <c r="J480" s="15"/>
      <c r="V480" s="15"/>
      <c r="W480" s="15"/>
    </row>
    <row r="481">
      <c r="J481" s="15"/>
      <c r="V481" s="15"/>
      <c r="W481" s="15"/>
    </row>
    <row r="482">
      <c r="J482" s="15"/>
      <c r="V482" s="15"/>
      <c r="W482" s="15"/>
    </row>
    <row r="483">
      <c r="J483" s="15"/>
      <c r="V483" s="15"/>
      <c r="W483" s="15"/>
    </row>
    <row r="484">
      <c r="J484" s="15"/>
      <c r="V484" s="15"/>
      <c r="W484" s="15"/>
    </row>
    <row r="485">
      <c r="J485" s="15"/>
      <c r="V485" s="15"/>
      <c r="W485" s="15"/>
    </row>
    <row r="486">
      <c r="J486" s="15"/>
      <c r="V486" s="15"/>
      <c r="W486" s="15"/>
    </row>
    <row r="487">
      <c r="J487" s="15"/>
      <c r="V487" s="15"/>
      <c r="W487" s="15"/>
    </row>
    <row r="488">
      <c r="J488" s="15"/>
      <c r="V488" s="15"/>
      <c r="W488" s="15"/>
    </row>
    <row r="489">
      <c r="J489" s="15"/>
      <c r="V489" s="15"/>
      <c r="W489" s="15"/>
    </row>
    <row r="490">
      <c r="J490" s="15"/>
      <c r="V490" s="15"/>
      <c r="W490" s="15"/>
    </row>
    <row r="491">
      <c r="J491" s="15"/>
      <c r="V491" s="15"/>
      <c r="W491" s="15"/>
    </row>
    <row r="492">
      <c r="J492" s="15"/>
      <c r="V492" s="15"/>
      <c r="W492" s="15"/>
    </row>
    <row r="493">
      <c r="J493" s="15"/>
      <c r="V493" s="15"/>
      <c r="W493" s="15"/>
    </row>
    <row r="494">
      <c r="J494" s="15"/>
      <c r="V494" s="15"/>
      <c r="W494" s="15"/>
    </row>
    <row r="495">
      <c r="J495" s="15"/>
      <c r="V495" s="15"/>
      <c r="W495" s="15"/>
    </row>
    <row r="496">
      <c r="J496" s="15"/>
      <c r="V496" s="15"/>
      <c r="W496" s="15"/>
    </row>
    <row r="497">
      <c r="J497" s="15"/>
      <c r="V497" s="15"/>
      <c r="W497" s="15"/>
    </row>
    <row r="498">
      <c r="J498" s="15"/>
      <c r="V498" s="15"/>
      <c r="W498" s="15"/>
    </row>
    <row r="499">
      <c r="J499" s="15"/>
      <c r="V499" s="15"/>
      <c r="W499" s="15"/>
    </row>
    <row r="500">
      <c r="J500" s="15"/>
      <c r="V500" s="15"/>
      <c r="W500" s="15"/>
    </row>
    <row r="501">
      <c r="J501" s="15"/>
      <c r="V501" s="15"/>
      <c r="W501" s="15"/>
    </row>
    <row r="502">
      <c r="J502" s="15"/>
      <c r="V502" s="15"/>
      <c r="W502" s="15"/>
    </row>
    <row r="503">
      <c r="J503" s="15"/>
      <c r="V503" s="15"/>
      <c r="W503" s="15"/>
    </row>
    <row r="504">
      <c r="J504" s="15"/>
      <c r="V504" s="15"/>
      <c r="W504" s="15"/>
    </row>
    <row r="505">
      <c r="J505" s="15"/>
      <c r="V505" s="15"/>
      <c r="W505" s="15"/>
    </row>
    <row r="506">
      <c r="J506" s="15"/>
      <c r="V506" s="15"/>
      <c r="W506" s="15"/>
    </row>
    <row r="507">
      <c r="J507" s="15"/>
      <c r="V507" s="15"/>
      <c r="W507" s="15"/>
    </row>
    <row r="508">
      <c r="J508" s="15"/>
      <c r="V508" s="15"/>
      <c r="W508" s="15"/>
    </row>
    <row r="509">
      <c r="J509" s="15"/>
      <c r="V509" s="15"/>
      <c r="W509" s="15"/>
    </row>
    <row r="510">
      <c r="J510" s="15"/>
      <c r="V510" s="15"/>
      <c r="W510" s="15"/>
    </row>
    <row r="511">
      <c r="J511" s="15"/>
      <c r="V511" s="15"/>
      <c r="W511" s="15"/>
    </row>
    <row r="512">
      <c r="J512" s="15"/>
      <c r="V512" s="15"/>
      <c r="W512" s="15"/>
    </row>
    <row r="513">
      <c r="J513" s="15"/>
      <c r="V513" s="15"/>
      <c r="W513" s="15"/>
    </row>
    <row r="514">
      <c r="J514" s="15"/>
      <c r="V514" s="15"/>
      <c r="W514" s="15"/>
    </row>
    <row r="515">
      <c r="J515" s="15"/>
      <c r="V515" s="15"/>
      <c r="W515" s="15"/>
    </row>
    <row r="516">
      <c r="J516" s="15"/>
      <c r="V516" s="15"/>
      <c r="W516" s="15"/>
    </row>
    <row r="517">
      <c r="J517" s="15"/>
      <c r="V517" s="15"/>
      <c r="W517" s="15"/>
    </row>
    <row r="518">
      <c r="J518" s="15"/>
      <c r="V518" s="15"/>
      <c r="W518" s="15"/>
    </row>
    <row r="519">
      <c r="J519" s="15"/>
      <c r="V519" s="15"/>
      <c r="W519" s="15"/>
    </row>
    <row r="520">
      <c r="J520" s="15"/>
      <c r="V520" s="15"/>
      <c r="W520" s="15"/>
    </row>
    <row r="521">
      <c r="J521" s="15"/>
      <c r="V521" s="15"/>
      <c r="W521" s="15"/>
    </row>
    <row r="522">
      <c r="J522" s="15"/>
      <c r="V522" s="15"/>
      <c r="W522" s="15"/>
    </row>
    <row r="523">
      <c r="J523" s="15"/>
      <c r="V523" s="15"/>
      <c r="W523" s="15"/>
    </row>
    <row r="524">
      <c r="J524" s="15"/>
      <c r="V524" s="15"/>
      <c r="W524" s="15"/>
    </row>
    <row r="525">
      <c r="J525" s="15"/>
      <c r="V525" s="15"/>
      <c r="W525" s="15"/>
    </row>
    <row r="526">
      <c r="J526" s="15"/>
      <c r="V526" s="15"/>
      <c r="W526" s="15"/>
    </row>
    <row r="527">
      <c r="J527" s="15"/>
      <c r="V527" s="15"/>
      <c r="W527" s="15"/>
    </row>
    <row r="528">
      <c r="J528" s="15"/>
      <c r="V528" s="15"/>
      <c r="W528" s="15"/>
    </row>
    <row r="529">
      <c r="J529" s="15"/>
      <c r="V529" s="15"/>
      <c r="W529" s="15"/>
    </row>
    <row r="530">
      <c r="J530" s="15"/>
      <c r="V530" s="15"/>
      <c r="W530" s="15"/>
    </row>
    <row r="531">
      <c r="J531" s="15"/>
      <c r="V531" s="15"/>
      <c r="W531" s="15"/>
    </row>
    <row r="532">
      <c r="J532" s="15"/>
      <c r="V532" s="15"/>
      <c r="W532" s="15"/>
    </row>
    <row r="533">
      <c r="J533" s="15"/>
      <c r="V533" s="15"/>
      <c r="W533" s="15"/>
    </row>
    <row r="534">
      <c r="J534" s="15"/>
      <c r="V534" s="15"/>
      <c r="W534" s="15"/>
    </row>
    <row r="535">
      <c r="J535" s="15"/>
      <c r="V535" s="15"/>
      <c r="W535" s="15"/>
    </row>
    <row r="536">
      <c r="J536" s="15"/>
      <c r="V536" s="15"/>
      <c r="W536" s="15"/>
    </row>
    <row r="537">
      <c r="J537" s="15"/>
      <c r="V537" s="15"/>
      <c r="W537" s="15"/>
    </row>
    <row r="538">
      <c r="J538" s="15"/>
      <c r="V538" s="15"/>
      <c r="W538" s="15"/>
    </row>
    <row r="539">
      <c r="J539" s="15"/>
      <c r="V539" s="15"/>
      <c r="W539" s="15"/>
    </row>
    <row r="540">
      <c r="J540" s="15"/>
      <c r="V540" s="15"/>
      <c r="W540" s="15"/>
    </row>
    <row r="541">
      <c r="J541" s="15"/>
      <c r="V541" s="15"/>
      <c r="W541" s="15"/>
    </row>
    <row r="542">
      <c r="J542" s="15"/>
      <c r="V542" s="15"/>
      <c r="W542" s="15"/>
    </row>
    <row r="543">
      <c r="J543" s="15"/>
      <c r="V543" s="15"/>
      <c r="W543" s="15"/>
    </row>
    <row r="544">
      <c r="J544" s="15"/>
      <c r="V544" s="15"/>
      <c r="W544" s="15"/>
    </row>
    <row r="545">
      <c r="J545" s="15"/>
      <c r="V545" s="15"/>
      <c r="W545" s="15"/>
    </row>
    <row r="546">
      <c r="J546" s="15"/>
      <c r="V546" s="15"/>
      <c r="W546" s="15"/>
    </row>
    <row r="547">
      <c r="J547" s="15"/>
      <c r="V547" s="15"/>
      <c r="W547" s="15"/>
    </row>
    <row r="548">
      <c r="J548" s="15"/>
      <c r="V548" s="15"/>
      <c r="W548" s="15"/>
    </row>
    <row r="549">
      <c r="J549" s="15"/>
      <c r="V549" s="15"/>
      <c r="W549" s="15"/>
    </row>
    <row r="550">
      <c r="J550" s="15"/>
      <c r="V550" s="15"/>
      <c r="W550" s="15"/>
    </row>
    <row r="551">
      <c r="J551" s="15"/>
      <c r="V551" s="15"/>
      <c r="W551" s="15"/>
    </row>
    <row r="552">
      <c r="J552" s="15"/>
      <c r="V552" s="15"/>
      <c r="W552" s="15"/>
    </row>
    <row r="553">
      <c r="J553" s="15"/>
      <c r="V553" s="15"/>
      <c r="W553" s="15"/>
    </row>
    <row r="554">
      <c r="J554" s="15"/>
      <c r="V554" s="15"/>
      <c r="W554" s="15"/>
    </row>
    <row r="555">
      <c r="J555" s="15"/>
      <c r="V555" s="15"/>
      <c r="W555" s="15"/>
    </row>
    <row r="556">
      <c r="J556" s="15"/>
      <c r="V556" s="15"/>
      <c r="W556" s="15"/>
    </row>
    <row r="557">
      <c r="J557" s="15"/>
      <c r="V557" s="15"/>
      <c r="W557" s="15"/>
    </row>
    <row r="558">
      <c r="J558" s="15"/>
      <c r="V558" s="15"/>
      <c r="W558" s="15"/>
    </row>
    <row r="559">
      <c r="J559" s="15"/>
      <c r="V559" s="15"/>
      <c r="W559" s="15"/>
    </row>
    <row r="560">
      <c r="J560" s="15"/>
      <c r="V560" s="15"/>
      <c r="W560" s="15"/>
    </row>
    <row r="561">
      <c r="J561" s="15"/>
      <c r="V561" s="15"/>
      <c r="W561" s="15"/>
    </row>
    <row r="562">
      <c r="J562" s="15"/>
      <c r="V562" s="15"/>
      <c r="W562" s="15"/>
    </row>
    <row r="563">
      <c r="J563" s="15"/>
      <c r="V563" s="15"/>
      <c r="W563" s="15"/>
    </row>
    <row r="564">
      <c r="J564" s="15"/>
      <c r="V564" s="15"/>
      <c r="W564" s="15"/>
    </row>
    <row r="565">
      <c r="J565" s="15"/>
      <c r="V565" s="15"/>
      <c r="W565" s="15"/>
    </row>
    <row r="566">
      <c r="J566" s="15"/>
      <c r="V566" s="15"/>
      <c r="W566" s="15"/>
    </row>
    <row r="567">
      <c r="J567" s="15"/>
      <c r="V567" s="15"/>
      <c r="W567" s="15"/>
    </row>
    <row r="568">
      <c r="J568" s="15"/>
      <c r="V568" s="15"/>
      <c r="W568" s="15"/>
    </row>
    <row r="569">
      <c r="J569" s="15"/>
      <c r="V569" s="15"/>
      <c r="W569" s="15"/>
    </row>
    <row r="570">
      <c r="J570" s="15"/>
      <c r="V570" s="15"/>
      <c r="W570" s="15"/>
    </row>
    <row r="571">
      <c r="J571" s="15"/>
      <c r="V571" s="15"/>
      <c r="W571" s="15"/>
    </row>
    <row r="572">
      <c r="J572" s="15"/>
      <c r="V572" s="15"/>
      <c r="W572" s="15"/>
    </row>
    <row r="573">
      <c r="J573" s="15"/>
      <c r="V573" s="15"/>
      <c r="W573" s="15"/>
    </row>
    <row r="574">
      <c r="J574" s="15"/>
      <c r="V574" s="15"/>
      <c r="W574" s="15"/>
    </row>
    <row r="575">
      <c r="J575" s="15"/>
      <c r="V575" s="15"/>
      <c r="W575" s="15"/>
    </row>
    <row r="576">
      <c r="J576" s="15"/>
      <c r="V576" s="15"/>
      <c r="W576" s="15"/>
    </row>
    <row r="577">
      <c r="J577" s="15"/>
      <c r="V577" s="15"/>
      <c r="W577" s="15"/>
    </row>
    <row r="578">
      <c r="J578" s="15"/>
      <c r="V578" s="15"/>
      <c r="W578" s="15"/>
    </row>
    <row r="579">
      <c r="J579" s="15"/>
      <c r="V579" s="15"/>
      <c r="W579" s="15"/>
    </row>
    <row r="580">
      <c r="J580" s="15"/>
      <c r="V580" s="15"/>
      <c r="W580" s="15"/>
    </row>
    <row r="581">
      <c r="J581" s="15"/>
      <c r="V581" s="15"/>
      <c r="W581" s="15"/>
    </row>
    <row r="582">
      <c r="J582" s="15"/>
      <c r="V582" s="15"/>
      <c r="W582" s="15"/>
    </row>
    <row r="583">
      <c r="J583" s="15"/>
      <c r="V583" s="15"/>
      <c r="W583" s="15"/>
    </row>
    <row r="584">
      <c r="J584" s="15"/>
      <c r="V584" s="15"/>
      <c r="W584" s="15"/>
    </row>
    <row r="585">
      <c r="J585" s="15"/>
      <c r="V585" s="15"/>
      <c r="W585" s="15"/>
    </row>
    <row r="586">
      <c r="J586" s="15"/>
      <c r="V586" s="15"/>
      <c r="W586" s="15"/>
    </row>
    <row r="587">
      <c r="J587" s="15"/>
      <c r="V587" s="15"/>
      <c r="W587" s="15"/>
    </row>
    <row r="588">
      <c r="J588" s="15"/>
      <c r="V588" s="15"/>
      <c r="W588" s="15"/>
    </row>
    <row r="589">
      <c r="J589" s="15"/>
      <c r="V589" s="15"/>
      <c r="W589" s="15"/>
    </row>
    <row r="590">
      <c r="J590" s="15"/>
      <c r="V590" s="15"/>
      <c r="W590" s="15"/>
    </row>
    <row r="591">
      <c r="J591" s="15"/>
      <c r="V591" s="15"/>
      <c r="W591" s="15"/>
    </row>
    <row r="592">
      <c r="J592" s="15"/>
      <c r="V592" s="15"/>
      <c r="W592" s="15"/>
    </row>
    <row r="593">
      <c r="J593" s="15"/>
      <c r="V593" s="15"/>
      <c r="W593" s="15"/>
    </row>
    <row r="594">
      <c r="J594" s="15"/>
      <c r="V594" s="15"/>
      <c r="W594" s="15"/>
    </row>
    <row r="595">
      <c r="J595" s="15"/>
      <c r="V595" s="15"/>
      <c r="W595" s="15"/>
    </row>
    <row r="596">
      <c r="J596" s="15"/>
      <c r="V596" s="15"/>
      <c r="W596" s="15"/>
    </row>
    <row r="597">
      <c r="J597" s="15"/>
      <c r="V597" s="15"/>
      <c r="W597" s="15"/>
    </row>
    <row r="598">
      <c r="J598" s="15"/>
      <c r="V598" s="15"/>
      <c r="W598" s="15"/>
    </row>
    <row r="599">
      <c r="J599" s="15"/>
      <c r="V599" s="15"/>
      <c r="W599" s="15"/>
    </row>
    <row r="600">
      <c r="J600" s="15"/>
      <c r="V600" s="15"/>
      <c r="W600" s="15"/>
    </row>
    <row r="601">
      <c r="J601" s="15"/>
      <c r="V601" s="15"/>
      <c r="W601" s="15"/>
    </row>
    <row r="602">
      <c r="J602" s="15"/>
      <c r="V602" s="15"/>
      <c r="W602" s="15"/>
    </row>
    <row r="603">
      <c r="J603" s="15"/>
      <c r="V603" s="15"/>
      <c r="W603" s="15"/>
    </row>
    <row r="604">
      <c r="J604" s="15"/>
      <c r="V604" s="15"/>
      <c r="W604" s="15"/>
    </row>
    <row r="605">
      <c r="J605" s="15"/>
      <c r="V605" s="15"/>
      <c r="W605" s="15"/>
    </row>
    <row r="606">
      <c r="J606" s="15"/>
      <c r="V606" s="15"/>
      <c r="W606" s="15"/>
    </row>
    <row r="607">
      <c r="J607" s="15"/>
      <c r="V607" s="15"/>
      <c r="W607" s="15"/>
    </row>
    <row r="608">
      <c r="J608" s="15"/>
      <c r="V608" s="15"/>
      <c r="W608" s="15"/>
    </row>
    <row r="609">
      <c r="J609" s="15"/>
      <c r="V609" s="15"/>
      <c r="W609" s="15"/>
    </row>
    <row r="610">
      <c r="J610" s="15"/>
      <c r="V610" s="15"/>
      <c r="W610" s="15"/>
    </row>
    <row r="611">
      <c r="J611" s="15"/>
      <c r="V611" s="15"/>
      <c r="W611" s="15"/>
    </row>
    <row r="612">
      <c r="J612" s="15"/>
      <c r="V612" s="15"/>
      <c r="W612" s="15"/>
    </row>
    <row r="613">
      <c r="J613" s="15"/>
      <c r="V613" s="15"/>
      <c r="W613" s="15"/>
    </row>
    <row r="614">
      <c r="J614" s="15"/>
      <c r="V614" s="15"/>
      <c r="W614" s="15"/>
    </row>
    <row r="615">
      <c r="J615" s="15"/>
      <c r="V615" s="15"/>
      <c r="W615" s="15"/>
    </row>
    <row r="616">
      <c r="J616" s="15"/>
      <c r="V616" s="15"/>
      <c r="W616" s="15"/>
    </row>
    <row r="617">
      <c r="J617" s="15"/>
      <c r="V617" s="15"/>
      <c r="W617" s="15"/>
    </row>
    <row r="618">
      <c r="J618" s="15"/>
      <c r="V618" s="15"/>
      <c r="W618" s="15"/>
    </row>
    <row r="619">
      <c r="J619" s="15"/>
      <c r="V619" s="15"/>
      <c r="W619" s="15"/>
    </row>
    <row r="620">
      <c r="J620" s="15"/>
      <c r="V620" s="15"/>
      <c r="W620" s="15"/>
    </row>
    <row r="621">
      <c r="J621" s="15"/>
      <c r="V621" s="15"/>
      <c r="W621" s="15"/>
    </row>
    <row r="622">
      <c r="J622" s="15"/>
      <c r="V622" s="15"/>
      <c r="W622" s="15"/>
    </row>
    <row r="623">
      <c r="J623" s="15"/>
      <c r="V623" s="15"/>
      <c r="W623" s="15"/>
    </row>
    <row r="624">
      <c r="J624" s="15"/>
      <c r="V624" s="15"/>
      <c r="W624" s="15"/>
    </row>
    <row r="625">
      <c r="J625" s="15"/>
      <c r="V625" s="15"/>
      <c r="W625" s="15"/>
    </row>
    <row r="626">
      <c r="J626" s="15"/>
      <c r="V626" s="15"/>
      <c r="W626" s="15"/>
    </row>
    <row r="627">
      <c r="J627" s="15"/>
      <c r="V627" s="15"/>
      <c r="W627" s="15"/>
    </row>
    <row r="628">
      <c r="J628" s="15"/>
      <c r="V628" s="15"/>
      <c r="W628" s="15"/>
    </row>
    <row r="629">
      <c r="J629" s="15"/>
      <c r="V629" s="15"/>
      <c r="W629" s="15"/>
    </row>
    <row r="630">
      <c r="J630" s="15"/>
      <c r="V630" s="15"/>
      <c r="W630" s="15"/>
    </row>
    <row r="631">
      <c r="J631" s="15"/>
      <c r="V631" s="15"/>
      <c r="W631" s="15"/>
    </row>
    <row r="632">
      <c r="J632" s="15"/>
      <c r="V632" s="15"/>
      <c r="W632" s="15"/>
    </row>
    <row r="633">
      <c r="J633" s="15"/>
      <c r="V633" s="15"/>
      <c r="W633" s="15"/>
    </row>
    <row r="634">
      <c r="J634" s="15"/>
      <c r="V634" s="15"/>
      <c r="W634" s="15"/>
    </row>
    <row r="635">
      <c r="J635" s="15"/>
      <c r="V635" s="15"/>
      <c r="W635" s="15"/>
    </row>
    <row r="636">
      <c r="J636" s="15"/>
      <c r="V636" s="15"/>
      <c r="W636" s="15"/>
    </row>
    <row r="637">
      <c r="J637" s="15"/>
      <c r="V637" s="15"/>
      <c r="W637" s="15"/>
    </row>
    <row r="638">
      <c r="J638" s="15"/>
      <c r="V638" s="15"/>
      <c r="W638" s="15"/>
    </row>
    <row r="639">
      <c r="J639" s="15"/>
      <c r="V639" s="15"/>
      <c r="W639" s="15"/>
    </row>
    <row r="640">
      <c r="J640" s="15"/>
      <c r="V640" s="15"/>
      <c r="W640" s="15"/>
    </row>
    <row r="641">
      <c r="J641" s="15"/>
      <c r="V641" s="15"/>
      <c r="W641" s="15"/>
    </row>
    <row r="642">
      <c r="J642" s="15"/>
      <c r="V642" s="15"/>
      <c r="W642" s="15"/>
    </row>
    <row r="643">
      <c r="J643" s="15"/>
      <c r="V643" s="15"/>
      <c r="W643" s="15"/>
    </row>
    <row r="644">
      <c r="J644" s="15"/>
      <c r="V644" s="15"/>
      <c r="W644" s="15"/>
    </row>
    <row r="645">
      <c r="J645" s="15"/>
      <c r="V645" s="15"/>
      <c r="W645" s="15"/>
    </row>
    <row r="646">
      <c r="J646" s="15"/>
      <c r="V646" s="15"/>
      <c r="W646" s="15"/>
    </row>
    <row r="647">
      <c r="J647" s="15"/>
      <c r="V647" s="15"/>
      <c r="W647" s="15"/>
    </row>
    <row r="648">
      <c r="J648" s="15"/>
      <c r="V648" s="15"/>
      <c r="W648" s="15"/>
    </row>
    <row r="649">
      <c r="J649" s="15"/>
      <c r="V649" s="15"/>
      <c r="W649" s="15"/>
    </row>
    <row r="650">
      <c r="J650" s="15"/>
      <c r="V650" s="15"/>
      <c r="W650" s="15"/>
    </row>
    <row r="651">
      <c r="J651" s="15"/>
      <c r="V651" s="15"/>
      <c r="W651" s="15"/>
    </row>
    <row r="652">
      <c r="J652" s="15"/>
      <c r="V652" s="15"/>
      <c r="W652" s="15"/>
    </row>
    <row r="653">
      <c r="J653" s="15"/>
      <c r="V653" s="15"/>
      <c r="W653" s="15"/>
    </row>
    <row r="654">
      <c r="J654" s="15"/>
      <c r="V654" s="15"/>
      <c r="W654" s="15"/>
    </row>
    <row r="655">
      <c r="J655" s="15"/>
      <c r="V655" s="15"/>
      <c r="W655" s="15"/>
    </row>
    <row r="656">
      <c r="J656" s="15"/>
      <c r="V656" s="15"/>
      <c r="W656" s="15"/>
    </row>
    <row r="657">
      <c r="J657" s="15"/>
      <c r="V657" s="15"/>
      <c r="W657" s="15"/>
    </row>
    <row r="658">
      <c r="J658" s="15"/>
      <c r="V658" s="15"/>
      <c r="W658" s="15"/>
    </row>
    <row r="659">
      <c r="J659" s="15"/>
      <c r="V659" s="15"/>
      <c r="W659" s="15"/>
    </row>
    <row r="660">
      <c r="J660" s="15"/>
      <c r="V660" s="15"/>
      <c r="W660" s="15"/>
    </row>
    <row r="661">
      <c r="J661" s="15"/>
      <c r="V661" s="15"/>
      <c r="W661" s="15"/>
    </row>
    <row r="662">
      <c r="J662" s="15"/>
      <c r="V662" s="15"/>
      <c r="W662" s="15"/>
    </row>
    <row r="663">
      <c r="J663" s="15"/>
      <c r="V663" s="15"/>
      <c r="W663" s="15"/>
    </row>
    <row r="664">
      <c r="J664" s="15"/>
      <c r="V664" s="15"/>
      <c r="W664" s="15"/>
    </row>
    <row r="665">
      <c r="J665" s="15"/>
      <c r="V665" s="15"/>
      <c r="W665" s="15"/>
    </row>
    <row r="666">
      <c r="J666" s="15"/>
      <c r="V666" s="15"/>
      <c r="W666" s="15"/>
    </row>
    <row r="667">
      <c r="J667" s="15"/>
      <c r="V667" s="15"/>
      <c r="W667" s="15"/>
    </row>
    <row r="668">
      <c r="J668" s="15"/>
      <c r="V668" s="15"/>
      <c r="W668" s="15"/>
    </row>
    <row r="669">
      <c r="J669" s="15"/>
      <c r="V669" s="15"/>
      <c r="W669" s="15"/>
    </row>
    <row r="670">
      <c r="J670" s="15"/>
      <c r="V670" s="15"/>
      <c r="W670" s="15"/>
    </row>
    <row r="671">
      <c r="J671" s="15"/>
      <c r="V671" s="15"/>
      <c r="W671" s="15"/>
    </row>
    <row r="672">
      <c r="J672" s="15"/>
      <c r="V672" s="15"/>
      <c r="W672" s="15"/>
    </row>
    <row r="673">
      <c r="J673" s="15"/>
      <c r="V673" s="15"/>
      <c r="W673" s="15"/>
    </row>
    <row r="674">
      <c r="J674" s="15"/>
      <c r="V674" s="15"/>
      <c r="W674" s="15"/>
    </row>
    <row r="675">
      <c r="J675" s="15"/>
      <c r="V675" s="15"/>
      <c r="W675" s="15"/>
    </row>
    <row r="676">
      <c r="J676" s="15"/>
      <c r="V676" s="15"/>
      <c r="W676" s="15"/>
    </row>
    <row r="677">
      <c r="J677" s="15"/>
      <c r="V677" s="15"/>
      <c r="W677" s="15"/>
    </row>
    <row r="678">
      <c r="J678" s="15"/>
      <c r="V678" s="15"/>
      <c r="W678" s="15"/>
    </row>
    <row r="679">
      <c r="J679" s="15"/>
      <c r="V679" s="15"/>
      <c r="W679" s="15"/>
    </row>
    <row r="680">
      <c r="J680" s="15"/>
      <c r="V680" s="15"/>
      <c r="W680" s="15"/>
    </row>
    <row r="681">
      <c r="J681" s="15"/>
      <c r="V681" s="15"/>
      <c r="W681" s="15"/>
    </row>
    <row r="682">
      <c r="J682" s="15"/>
      <c r="V682" s="15"/>
      <c r="W682" s="15"/>
    </row>
    <row r="683">
      <c r="J683" s="15"/>
      <c r="V683" s="15"/>
      <c r="W683" s="15"/>
    </row>
    <row r="684">
      <c r="J684" s="15"/>
      <c r="V684" s="15"/>
      <c r="W684" s="15"/>
    </row>
    <row r="685">
      <c r="J685" s="15"/>
      <c r="V685" s="15"/>
      <c r="W685" s="15"/>
    </row>
    <row r="686">
      <c r="J686" s="15"/>
      <c r="V686" s="15"/>
      <c r="W686" s="15"/>
    </row>
    <row r="687">
      <c r="J687" s="15"/>
      <c r="V687" s="15"/>
      <c r="W687" s="15"/>
    </row>
    <row r="688">
      <c r="J688" s="15"/>
      <c r="V688" s="15"/>
      <c r="W688" s="15"/>
    </row>
    <row r="689">
      <c r="J689" s="15"/>
      <c r="V689" s="15"/>
      <c r="W689" s="15"/>
    </row>
    <row r="690">
      <c r="J690" s="15"/>
      <c r="V690" s="15"/>
      <c r="W690" s="15"/>
    </row>
    <row r="691">
      <c r="J691" s="15"/>
      <c r="V691" s="15"/>
      <c r="W691" s="15"/>
    </row>
    <row r="692">
      <c r="J692" s="15"/>
      <c r="V692" s="15"/>
      <c r="W692" s="15"/>
    </row>
    <row r="693">
      <c r="J693" s="15"/>
      <c r="V693" s="15"/>
      <c r="W693" s="15"/>
    </row>
    <row r="694">
      <c r="J694" s="15"/>
      <c r="V694" s="15"/>
      <c r="W694" s="15"/>
    </row>
    <row r="695">
      <c r="J695" s="15"/>
      <c r="V695" s="15"/>
      <c r="W695" s="15"/>
    </row>
    <row r="696">
      <c r="J696" s="15"/>
      <c r="V696" s="15"/>
      <c r="W696" s="15"/>
    </row>
    <row r="697">
      <c r="J697" s="15"/>
      <c r="V697" s="15"/>
      <c r="W697" s="15"/>
    </row>
    <row r="698">
      <c r="J698" s="15"/>
      <c r="V698" s="15"/>
      <c r="W698" s="15"/>
    </row>
    <row r="699">
      <c r="J699" s="15"/>
      <c r="V699" s="15"/>
      <c r="W699" s="15"/>
    </row>
    <row r="700">
      <c r="J700" s="15"/>
      <c r="V700" s="15"/>
      <c r="W700" s="15"/>
    </row>
    <row r="701">
      <c r="J701" s="15"/>
      <c r="V701" s="15"/>
      <c r="W701" s="15"/>
    </row>
    <row r="702">
      <c r="J702" s="15"/>
      <c r="V702" s="15"/>
      <c r="W702" s="15"/>
    </row>
    <row r="703">
      <c r="J703" s="15"/>
      <c r="V703" s="15"/>
      <c r="W703" s="15"/>
    </row>
    <row r="704">
      <c r="J704" s="15"/>
      <c r="V704" s="15"/>
      <c r="W704" s="15"/>
    </row>
    <row r="705">
      <c r="J705" s="15"/>
      <c r="V705" s="15"/>
      <c r="W705" s="15"/>
    </row>
    <row r="706">
      <c r="J706" s="15"/>
      <c r="V706" s="15"/>
      <c r="W706" s="15"/>
    </row>
    <row r="707">
      <c r="J707" s="15"/>
      <c r="V707" s="15"/>
      <c r="W707" s="15"/>
    </row>
    <row r="708">
      <c r="J708" s="15"/>
      <c r="V708" s="15"/>
      <c r="W708" s="15"/>
    </row>
    <row r="709">
      <c r="J709" s="15"/>
      <c r="V709" s="15"/>
      <c r="W709" s="15"/>
    </row>
    <row r="710">
      <c r="J710" s="15"/>
      <c r="V710" s="15"/>
      <c r="W710" s="15"/>
    </row>
    <row r="711">
      <c r="J711" s="15"/>
      <c r="V711" s="15"/>
      <c r="W711" s="15"/>
    </row>
    <row r="712">
      <c r="J712" s="15"/>
      <c r="V712" s="15"/>
      <c r="W712" s="15"/>
    </row>
    <row r="713">
      <c r="J713" s="15"/>
      <c r="V713" s="15"/>
      <c r="W713" s="15"/>
    </row>
    <row r="714">
      <c r="J714" s="15"/>
      <c r="V714" s="15"/>
      <c r="W714" s="15"/>
    </row>
    <row r="715">
      <c r="J715" s="15"/>
      <c r="V715" s="15"/>
      <c r="W715" s="15"/>
    </row>
    <row r="716">
      <c r="J716" s="15"/>
      <c r="V716" s="15"/>
      <c r="W716" s="15"/>
    </row>
    <row r="717">
      <c r="J717" s="15"/>
      <c r="V717" s="15"/>
      <c r="W717" s="15"/>
    </row>
    <row r="718">
      <c r="J718" s="15"/>
      <c r="V718" s="15"/>
      <c r="W718" s="15"/>
    </row>
    <row r="719">
      <c r="J719" s="15"/>
      <c r="V719" s="15"/>
      <c r="W719" s="15"/>
    </row>
    <row r="720">
      <c r="J720" s="15"/>
      <c r="V720" s="15"/>
      <c r="W720" s="15"/>
    </row>
    <row r="721">
      <c r="J721" s="15"/>
      <c r="V721" s="15"/>
      <c r="W721" s="15"/>
    </row>
    <row r="722">
      <c r="J722" s="15"/>
      <c r="V722" s="15"/>
      <c r="W722" s="15"/>
    </row>
    <row r="723">
      <c r="J723" s="15"/>
      <c r="V723" s="15"/>
      <c r="W723" s="15"/>
    </row>
    <row r="724">
      <c r="J724" s="15"/>
      <c r="V724" s="15"/>
      <c r="W724" s="15"/>
    </row>
    <row r="725">
      <c r="J725" s="15"/>
      <c r="V725" s="15"/>
      <c r="W725" s="15"/>
    </row>
    <row r="726">
      <c r="J726" s="15"/>
      <c r="V726" s="15"/>
      <c r="W726" s="15"/>
    </row>
    <row r="727">
      <c r="J727" s="15"/>
      <c r="V727" s="15"/>
      <c r="W727" s="15"/>
    </row>
    <row r="728">
      <c r="J728" s="15"/>
      <c r="V728" s="15"/>
      <c r="W728" s="15"/>
    </row>
    <row r="729">
      <c r="J729" s="15"/>
      <c r="V729" s="15"/>
      <c r="W729" s="15"/>
    </row>
    <row r="730">
      <c r="J730" s="15"/>
      <c r="V730" s="15"/>
      <c r="W730" s="15"/>
    </row>
    <row r="731">
      <c r="J731" s="15"/>
      <c r="V731" s="15"/>
      <c r="W731" s="15"/>
    </row>
    <row r="732">
      <c r="J732" s="15"/>
      <c r="V732" s="15"/>
      <c r="W732" s="15"/>
    </row>
    <row r="733">
      <c r="J733" s="15"/>
      <c r="V733" s="15"/>
      <c r="W733" s="15"/>
    </row>
    <row r="734">
      <c r="J734" s="15"/>
      <c r="V734" s="15"/>
      <c r="W734" s="15"/>
    </row>
    <row r="735">
      <c r="J735" s="15"/>
      <c r="V735" s="15"/>
      <c r="W735" s="15"/>
    </row>
    <row r="736">
      <c r="J736" s="15"/>
      <c r="V736" s="15"/>
      <c r="W736" s="15"/>
    </row>
    <row r="737">
      <c r="J737" s="15"/>
      <c r="V737" s="15"/>
      <c r="W737" s="15"/>
    </row>
    <row r="738">
      <c r="J738" s="15"/>
      <c r="V738" s="15"/>
      <c r="W738" s="15"/>
    </row>
    <row r="739">
      <c r="J739" s="15"/>
      <c r="V739" s="15"/>
      <c r="W739" s="15"/>
    </row>
    <row r="740">
      <c r="J740" s="15"/>
      <c r="V740" s="15"/>
      <c r="W740" s="15"/>
    </row>
    <row r="741">
      <c r="J741" s="15"/>
      <c r="V741" s="15"/>
      <c r="W741" s="15"/>
    </row>
    <row r="742">
      <c r="J742" s="15"/>
      <c r="V742" s="15"/>
      <c r="W742" s="15"/>
    </row>
    <row r="743">
      <c r="J743" s="15"/>
      <c r="V743" s="15"/>
      <c r="W743" s="15"/>
    </row>
    <row r="744">
      <c r="J744" s="15"/>
      <c r="V744" s="15"/>
      <c r="W744" s="15"/>
    </row>
    <row r="745">
      <c r="J745" s="15"/>
      <c r="V745" s="15"/>
      <c r="W745" s="15"/>
    </row>
    <row r="746">
      <c r="J746" s="15"/>
      <c r="V746" s="15"/>
      <c r="W746" s="15"/>
    </row>
    <row r="747">
      <c r="J747" s="15"/>
      <c r="V747" s="15"/>
      <c r="W747" s="15"/>
    </row>
    <row r="748">
      <c r="J748" s="15"/>
      <c r="V748" s="15"/>
      <c r="W748" s="15"/>
    </row>
    <row r="749">
      <c r="J749" s="15"/>
      <c r="V749" s="15"/>
      <c r="W749" s="15"/>
    </row>
    <row r="750">
      <c r="J750" s="15"/>
      <c r="V750" s="15"/>
      <c r="W750" s="15"/>
    </row>
    <row r="751">
      <c r="J751" s="15"/>
      <c r="V751" s="15"/>
      <c r="W751" s="15"/>
    </row>
    <row r="752">
      <c r="J752" s="15"/>
      <c r="V752" s="15"/>
      <c r="W752" s="15"/>
    </row>
    <row r="753">
      <c r="J753" s="15"/>
      <c r="V753" s="15"/>
      <c r="W753" s="15"/>
    </row>
    <row r="754">
      <c r="J754" s="15"/>
      <c r="V754" s="15"/>
      <c r="W754" s="15"/>
    </row>
    <row r="755">
      <c r="J755" s="15"/>
      <c r="V755" s="15"/>
      <c r="W755" s="15"/>
    </row>
    <row r="756">
      <c r="J756" s="15"/>
      <c r="V756" s="15"/>
      <c r="W756" s="15"/>
    </row>
    <row r="757">
      <c r="J757" s="15"/>
      <c r="V757" s="15"/>
      <c r="W757" s="15"/>
    </row>
    <row r="758">
      <c r="J758" s="15"/>
      <c r="V758" s="15"/>
      <c r="W758" s="15"/>
    </row>
    <row r="759">
      <c r="J759" s="15"/>
      <c r="V759" s="15"/>
      <c r="W759" s="15"/>
    </row>
    <row r="760">
      <c r="J760" s="15"/>
      <c r="V760" s="15"/>
      <c r="W760" s="15"/>
    </row>
    <row r="761">
      <c r="J761" s="15"/>
      <c r="V761" s="15"/>
      <c r="W761" s="15"/>
    </row>
    <row r="762">
      <c r="J762" s="15"/>
      <c r="V762" s="15"/>
      <c r="W762" s="15"/>
    </row>
    <row r="763">
      <c r="J763" s="15"/>
      <c r="V763" s="15"/>
      <c r="W763" s="15"/>
    </row>
    <row r="764">
      <c r="J764" s="15"/>
      <c r="V764" s="15"/>
      <c r="W764" s="15"/>
    </row>
    <row r="765">
      <c r="J765" s="15"/>
      <c r="V765" s="15"/>
      <c r="W765" s="15"/>
    </row>
    <row r="766">
      <c r="J766" s="15"/>
      <c r="V766" s="15"/>
      <c r="W766" s="15"/>
    </row>
    <row r="767">
      <c r="J767" s="15"/>
      <c r="V767" s="15"/>
      <c r="W767" s="15"/>
    </row>
    <row r="768">
      <c r="J768" s="15"/>
      <c r="V768" s="15"/>
      <c r="W768" s="15"/>
    </row>
    <row r="769">
      <c r="J769" s="15"/>
      <c r="V769" s="15"/>
      <c r="W769" s="15"/>
    </row>
    <row r="770">
      <c r="J770" s="15"/>
      <c r="V770" s="15"/>
      <c r="W770" s="15"/>
    </row>
    <row r="771">
      <c r="J771" s="15"/>
      <c r="V771" s="15"/>
      <c r="W771" s="15"/>
    </row>
    <row r="772">
      <c r="J772" s="15"/>
      <c r="V772" s="15"/>
      <c r="W772" s="15"/>
    </row>
    <row r="773">
      <c r="J773" s="15"/>
      <c r="V773" s="15"/>
      <c r="W773" s="15"/>
    </row>
    <row r="774">
      <c r="J774" s="15"/>
      <c r="V774" s="15"/>
      <c r="W774" s="15"/>
    </row>
    <row r="775">
      <c r="J775" s="15"/>
      <c r="V775" s="15"/>
      <c r="W775" s="15"/>
    </row>
    <row r="776">
      <c r="J776" s="15"/>
      <c r="V776" s="15"/>
      <c r="W776" s="15"/>
    </row>
    <row r="777">
      <c r="J777" s="15"/>
      <c r="V777" s="15"/>
      <c r="W777" s="15"/>
    </row>
    <row r="778">
      <c r="J778" s="15"/>
      <c r="V778" s="15"/>
      <c r="W778" s="15"/>
    </row>
    <row r="779">
      <c r="J779" s="15"/>
      <c r="V779" s="15"/>
      <c r="W779" s="15"/>
    </row>
    <row r="780">
      <c r="J780" s="15"/>
      <c r="V780" s="15"/>
      <c r="W780" s="15"/>
    </row>
    <row r="781">
      <c r="J781" s="15"/>
      <c r="V781" s="15"/>
      <c r="W781" s="15"/>
    </row>
    <row r="782">
      <c r="J782" s="15"/>
      <c r="V782" s="15"/>
      <c r="W782" s="15"/>
    </row>
    <row r="783">
      <c r="J783" s="15"/>
      <c r="V783" s="15"/>
      <c r="W783" s="15"/>
    </row>
    <row r="784">
      <c r="J784" s="15"/>
      <c r="V784" s="15"/>
      <c r="W784" s="15"/>
    </row>
    <row r="785">
      <c r="J785" s="15"/>
      <c r="V785" s="15"/>
      <c r="W785" s="15"/>
    </row>
    <row r="786">
      <c r="J786" s="15"/>
      <c r="V786" s="15"/>
      <c r="W786" s="15"/>
    </row>
    <row r="787">
      <c r="J787" s="15"/>
      <c r="V787" s="15"/>
      <c r="W787" s="15"/>
    </row>
    <row r="788">
      <c r="J788" s="15"/>
      <c r="V788" s="15"/>
      <c r="W788" s="15"/>
    </row>
    <row r="789">
      <c r="J789" s="15"/>
      <c r="V789" s="15"/>
      <c r="W789" s="15"/>
    </row>
    <row r="790">
      <c r="J790" s="15"/>
      <c r="V790" s="15"/>
      <c r="W790" s="15"/>
    </row>
    <row r="791">
      <c r="J791" s="15"/>
      <c r="V791" s="15"/>
      <c r="W791" s="15"/>
    </row>
    <row r="792">
      <c r="J792" s="15"/>
      <c r="V792" s="15"/>
      <c r="W792" s="15"/>
    </row>
    <row r="793">
      <c r="J793" s="15"/>
      <c r="V793" s="15"/>
      <c r="W793" s="15"/>
    </row>
    <row r="794">
      <c r="J794" s="15"/>
      <c r="V794" s="15"/>
      <c r="W794" s="15"/>
    </row>
    <row r="795">
      <c r="J795" s="15"/>
      <c r="V795" s="15"/>
      <c r="W795" s="15"/>
    </row>
    <row r="796">
      <c r="J796" s="15"/>
      <c r="V796" s="15"/>
      <c r="W796" s="15"/>
    </row>
    <row r="797">
      <c r="J797" s="15"/>
      <c r="V797" s="15"/>
      <c r="W797" s="15"/>
    </row>
    <row r="798">
      <c r="J798" s="15"/>
      <c r="V798" s="15"/>
      <c r="W798" s="15"/>
    </row>
    <row r="799">
      <c r="J799" s="15"/>
      <c r="V799" s="15"/>
      <c r="W799" s="15"/>
    </row>
    <row r="800">
      <c r="J800" s="15"/>
      <c r="V800" s="15"/>
      <c r="W800" s="15"/>
    </row>
    <row r="801">
      <c r="J801" s="15"/>
      <c r="V801" s="15"/>
      <c r="W801" s="15"/>
    </row>
    <row r="802">
      <c r="J802" s="15"/>
      <c r="V802" s="15"/>
      <c r="W802" s="15"/>
    </row>
    <row r="803">
      <c r="J803" s="15"/>
      <c r="V803" s="15"/>
      <c r="W803" s="15"/>
    </row>
    <row r="804">
      <c r="J804" s="15"/>
      <c r="V804" s="15"/>
      <c r="W804" s="15"/>
    </row>
    <row r="805">
      <c r="J805" s="15"/>
      <c r="V805" s="15"/>
      <c r="W805" s="15"/>
    </row>
    <row r="806">
      <c r="J806" s="15"/>
      <c r="V806" s="15"/>
      <c r="W806" s="15"/>
    </row>
    <row r="807">
      <c r="J807" s="15"/>
      <c r="V807" s="15"/>
      <c r="W807" s="15"/>
    </row>
    <row r="808">
      <c r="J808" s="15"/>
      <c r="V808" s="15"/>
      <c r="W808" s="15"/>
    </row>
    <row r="809">
      <c r="J809" s="15"/>
      <c r="V809" s="15"/>
      <c r="W809" s="15"/>
    </row>
    <row r="810">
      <c r="J810" s="15"/>
      <c r="V810" s="15"/>
      <c r="W810" s="15"/>
    </row>
    <row r="811">
      <c r="J811" s="15"/>
      <c r="V811" s="15"/>
      <c r="W811" s="15"/>
    </row>
    <row r="812">
      <c r="J812" s="15"/>
      <c r="V812" s="15"/>
      <c r="W812" s="15"/>
    </row>
    <row r="813">
      <c r="J813" s="15"/>
      <c r="V813" s="15"/>
      <c r="W813" s="15"/>
    </row>
    <row r="814">
      <c r="J814" s="15"/>
      <c r="V814" s="15"/>
      <c r="W814" s="15"/>
    </row>
    <row r="815">
      <c r="J815" s="15"/>
      <c r="V815" s="15"/>
      <c r="W815" s="15"/>
    </row>
    <row r="816">
      <c r="J816" s="15"/>
      <c r="V816" s="15"/>
      <c r="W816" s="15"/>
    </row>
    <row r="817">
      <c r="J817" s="15"/>
      <c r="V817" s="15"/>
      <c r="W817" s="15"/>
    </row>
    <row r="818">
      <c r="J818" s="15"/>
      <c r="V818" s="15"/>
      <c r="W818" s="15"/>
    </row>
    <row r="819">
      <c r="J819" s="15"/>
      <c r="V819" s="15"/>
      <c r="W819" s="15"/>
    </row>
    <row r="820">
      <c r="J820" s="15"/>
      <c r="V820" s="15"/>
      <c r="W820" s="15"/>
    </row>
    <row r="821">
      <c r="J821" s="15"/>
      <c r="V821" s="15"/>
      <c r="W821" s="15"/>
    </row>
    <row r="822">
      <c r="J822" s="15"/>
      <c r="V822" s="15"/>
      <c r="W822" s="15"/>
    </row>
    <row r="823">
      <c r="J823" s="15"/>
      <c r="V823" s="15"/>
      <c r="W823" s="15"/>
    </row>
    <row r="824">
      <c r="J824" s="15"/>
      <c r="V824" s="15"/>
      <c r="W824" s="15"/>
    </row>
    <row r="825">
      <c r="J825" s="15"/>
      <c r="V825" s="15"/>
      <c r="W825" s="15"/>
    </row>
    <row r="826">
      <c r="J826" s="15"/>
      <c r="V826" s="15"/>
      <c r="W826" s="15"/>
    </row>
    <row r="827">
      <c r="J827" s="15"/>
      <c r="V827" s="15"/>
      <c r="W827" s="15"/>
    </row>
    <row r="828">
      <c r="J828" s="15"/>
      <c r="V828" s="15"/>
      <c r="W828" s="15"/>
    </row>
    <row r="829">
      <c r="J829" s="15"/>
      <c r="V829" s="15"/>
      <c r="W829" s="15"/>
    </row>
    <row r="830">
      <c r="J830" s="15"/>
      <c r="V830" s="15"/>
      <c r="W830" s="15"/>
    </row>
    <row r="831">
      <c r="J831" s="15"/>
      <c r="V831" s="15"/>
      <c r="W831" s="15"/>
    </row>
    <row r="832">
      <c r="J832" s="15"/>
      <c r="V832" s="15"/>
      <c r="W832" s="15"/>
    </row>
    <row r="833">
      <c r="J833" s="15"/>
      <c r="V833" s="15"/>
      <c r="W833" s="15"/>
    </row>
    <row r="834">
      <c r="J834" s="15"/>
      <c r="V834" s="15"/>
      <c r="W834" s="15"/>
    </row>
    <row r="835">
      <c r="J835" s="15"/>
      <c r="V835" s="15"/>
      <c r="W835" s="15"/>
    </row>
    <row r="836">
      <c r="J836" s="15"/>
      <c r="V836" s="15"/>
      <c r="W836" s="15"/>
    </row>
    <row r="837">
      <c r="J837" s="15"/>
      <c r="V837" s="15"/>
      <c r="W837" s="15"/>
    </row>
    <row r="838">
      <c r="J838" s="15"/>
      <c r="V838" s="15"/>
      <c r="W838" s="15"/>
    </row>
    <row r="839">
      <c r="J839" s="15"/>
      <c r="V839" s="15"/>
      <c r="W839" s="15"/>
    </row>
    <row r="840">
      <c r="J840" s="15"/>
      <c r="V840" s="15"/>
      <c r="W840" s="15"/>
    </row>
    <row r="841">
      <c r="J841" s="15"/>
      <c r="V841" s="15"/>
      <c r="W841" s="15"/>
    </row>
    <row r="842">
      <c r="J842" s="15"/>
      <c r="V842" s="15"/>
      <c r="W842" s="15"/>
    </row>
    <row r="843">
      <c r="J843" s="15"/>
      <c r="V843" s="15"/>
      <c r="W843" s="15"/>
    </row>
    <row r="844">
      <c r="J844" s="15"/>
      <c r="V844" s="15"/>
      <c r="W844" s="15"/>
    </row>
    <row r="845">
      <c r="J845" s="15"/>
      <c r="V845" s="15"/>
      <c r="W845" s="15"/>
    </row>
    <row r="846">
      <c r="J846" s="15"/>
      <c r="V846" s="15"/>
      <c r="W846" s="15"/>
    </row>
    <row r="847">
      <c r="J847" s="15"/>
      <c r="V847" s="15"/>
      <c r="W847" s="15"/>
    </row>
    <row r="848">
      <c r="J848" s="15"/>
      <c r="V848" s="15"/>
      <c r="W848" s="15"/>
    </row>
    <row r="849">
      <c r="J849" s="15"/>
      <c r="V849" s="15"/>
      <c r="W849" s="15"/>
    </row>
    <row r="850">
      <c r="J850" s="15"/>
      <c r="V850" s="15"/>
      <c r="W850" s="15"/>
    </row>
    <row r="851">
      <c r="J851" s="15"/>
      <c r="V851" s="15"/>
      <c r="W851" s="15"/>
    </row>
    <row r="852">
      <c r="J852" s="15"/>
      <c r="V852" s="15"/>
      <c r="W852" s="15"/>
    </row>
    <row r="853">
      <c r="J853" s="15"/>
      <c r="V853" s="15"/>
      <c r="W853" s="15"/>
    </row>
    <row r="854">
      <c r="J854" s="15"/>
      <c r="V854" s="15"/>
      <c r="W854" s="15"/>
    </row>
    <row r="855">
      <c r="J855" s="15"/>
      <c r="V855" s="15"/>
      <c r="W855" s="15"/>
    </row>
    <row r="856">
      <c r="J856" s="15"/>
      <c r="V856" s="15"/>
      <c r="W856" s="15"/>
    </row>
    <row r="857">
      <c r="J857" s="15"/>
      <c r="V857" s="15"/>
      <c r="W857" s="15"/>
    </row>
    <row r="858">
      <c r="J858" s="15"/>
      <c r="V858" s="15"/>
      <c r="W858" s="15"/>
    </row>
    <row r="859">
      <c r="J859" s="15"/>
      <c r="V859" s="15"/>
      <c r="W859" s="15"/>
    </row>
    <row r="860">
      <c r="J860" s="15"/>
      <c r="V860" s="15"/>
      <c r="W860" s="15"/>
    </row>
    <row r="861">
      <c r="J861" s="15"/>
      <c r="V861" s="15"/>
      <c r="W861" s="15"/>
    </row>
    <row r="862">
      <c r="J862" s="15"/>
      <c r="V862" s="15"/>
      <c r="W862" s="15"/>
    </row>
    <row r="863">
      <c r="J863" s="15"/>
      <c r="V863" s="15"/>
      <c r="W863" s="15"/>
    </row>
    <row r="864">
      <c r="J864" s="15"/>
      <c r="V864" s="15"/>
      <c r="W864" s="15"/>
    </row>
    <row r="865">
      <c r="J865" s="15"/>
      <c r="V865" s="15"/>
      <c r="W865" s="15"/>
    </row>
    <row r="866">
      <c r="J866" s="15"/>
      <c r="V866" s="15"/>
      <c r="W866" s="15"/>
    </row>
    <row r="867">
      <c r="J867" s="15"/>
      <c r="V867" s="15"/>
      <c r="W867" s="15"/>
    </row>
    <row r="868">
      <c r="J868" s="15"/>
      <c r="V868" s="15"/>
      <c r="W868" s="15"/>
    </row>
    <row r="869">
      <c r="J869" s="15"/>
      <c r="V869" s="15"/>
      <c r="W869" s="15"/>
    </row>
    <row r="870">
      <c r="J870" s="15"/>
      <c r="V870" s="15"/>
      <c r="W870" s="15"/>
    </row>
    <row r="871">
      <c r="J871" s="15"/>
      <c r="V871" s="15"/>
      <c r="W871" s="15"/>
    </row>
    <row r="872">
      <c r="J872" s="15"/>
      <c r="V872" s="15"/>
      <c r="W872" s="15"/>
    </row>
    <row r="873">
      <c r="J873" s="15"/>
      <c r="V873" s="15"/>
      <c r="W873" s="15"/>
    </row>
    <row r="874">
      <c r="J874" s="15"/>
      <c r="V874" s="15"/>
      <c r="W874" s="15"/>
    </row>
    <row r="875">
      <c r="J875" s="15"/>
      <c r="V875" s="15"/>
      <c r="W875" s="15"/>
    </row>
    <row r="876">
      <c r="J876" s="15"/>
      <c r="V876" s="15"/>
      <c r="W876" s="15"/>
    </row>
    <row r="877">
      <c r="J877" s="15"/>
      <c r="V877" s="15"/>
      <c r="W877" s="15"/>
    </row>
    <row r="878">
      <c r="J878" s="15"/>
      <c r="V878" s="15"/>
      <c r="W878" s="15"/>
    </row>
    <row r="879">
      <c r="J879" s="15"/>
      <c r="V879" s="15"/>
      <c r="W879" s="15"/>
    </row>
    <row r="880">
      <c r="J880" s="15"/>
      <c r="V880" s="15"/>
      <c r="W880" s="15"/>
    </row>
    <row r="881">
      <c r="J881" s="15"/>
      <c r="V881" s="15"/>
      <c r="W881" s="15"/>
    </row>
    <row r="882">
      <c r="J882" s="15"/>
      <c r="V882" s="15"/>
      <c r="W882" s="15"/>
    </row>
    <row r="883">
      <c r="J883" s="15"/>
      <c r="V883" s="15"/>
      <c r="W883" s="15"/>
    </row>
    <row r="884">
      <c r="J884" s="15"/>
      <c r="V884" s="15"/>
      <c r="W884" s="15"/>
    </row>
    <row r="885">
      <c r="J885" s="15"/>
      <c r="V885" s="15"/>
      <c r="W885" s="15"/>
    </row>
    <row r="886">
      <c r="J886" s="15"/>
      <c r="V886" s="15"/>
      <c r="W886" s="15"/>
    </row>
    <row r="887">
      <c r="J887" s="15"/>
      <c r="V887" s="15"/>
      <c r="W887" s="15"/>
    </row>
    <row r="888">
      <c r="J888" s="15"/>
      <c r="V888" s="15"/>
      <c r="W888" s="15"/>
    </row>
    <row r="889">
      <c r="J889" s="15"/>
      <c r="V889" s="15"/>
      <c r="W889" s="15"/>
    </row>
    <row r="890">
      <c r="J890" s="15"/>
      <c r="V890" s="15"/>
      <c r="W890" s="15"/>
    </row>
    <row r="891">
      <c r="J891" s="15"/>
      <c r="V891" s="15"/>
      <c r="W891" s="15"/>
    </row>
    <row r="892">
      <c r="J892" s="15"/>
      <c r="V892" s="15"/>
      <c r="W892" s="15"/>
    </row>
    <row r="893">
      <c r="J893" s="15"/>
      <c r="V893" s="15"/>
      <c r="W893" s="15"/>
    </row>
    <row r="894">
      <c r="J894" s="15"/>
      <c r="V894" s="15"/>
      <c r="W894" s="15"/>
    </row>
    <row r="895">
      <c r="J895" s="15"/>
      <c r="V895" s="15"/>
      <c r="W895" s="15"/>
    </row>
    <row r="896">
      <c r="J896" s="15"/>
      <c r="V896" s="15"/>
      <c r="W896" s="15"/>
    </row>
    <row r="897">
      <c r="J897" s="15"/>
      <c r="V897" s="15"/>
      <c r="W897" s="15"/>
    </row>
    <row r="898">
      <c r="J898" s="15"/>
      <c r="V898" s="15"/>
      <c r="W898" s="15"/>
    </row>
    <row r="899">
      <c r="J899" s="15"/>
      <c r="V899" s="15"/>
      <c r="W899" s="15"/>
    </row>
    <row r="900">
      <c r="J900" s="15"/>
      <c r="V900" s="15"/>
      <c r="W900" s="15"/>
    </row>
    <row r="901">
      <c r="J901" s="15"/>
      <c r="V901" s="15"/>
      <c r="W901" s="15"/>
    </row>
    <row r="902">
      <c r="J902" s="15"/>
      <c r="V902" s="15"/>
      <c r="W902" s="15"/>
    </row>
    <row r="903">
      <c r="J903" s="15"/>
      <c r="V903" s="15"/>
      <c r="W903" s="15"/>
    </row>
    <row r="904">
      <c r="J904" s="15"/>
      <c r="V904" s="15"/>
      <c r="W904" s="15"/>
    </row>
    <row r="905">
      <c r="J905" s="15"/>
      <c r="V905" s="15"/>
      <c r="W905" s="15"/>
    </row>
    <row r="906">
      <c r="J906" s="15"/>
      <c r="V906" s="15"/>
      <c r="W906" s="15"/>
    </row>
    <row r="907">
      <c r="J907" s="15"/>
      <c r="V907" s="15"/>
      <c r="W907" s="15"/>
    </row>
    <row r="908">
      <c r="J908" s="15"/>
      <c r="V908" s="15"/>
      <c r="W908" s="15"/>
    </row>
    <row r="909">
      <c r="J909" s="15"/>
      <c r="V909" s="15"/>
      <c r="W909" s="15"/>
    </row>
    <row r="910">
      <c r="J910" s="15"/>
      <c r="V910" s="15"/>
      <c r="W910" s="15"/>
    </row>
    <row r="911">
      <c r="J911" s="15"/>
      <c r="V911" s="15"/>
      <c r="W911" s="15"/>
    </row>
    <row r="912">
      <c r="J912" s="15"/>
      <c r="V912" s="15"/>
      <c r="W912" s="15"/>
    </row>
    <row r="913">
      <c r="J913" s="15"/>
      <c r="V913" s="15"/>
      <c r="W913" s="15"/>
    </row>
    <row r="914">
      <c r="J914" s="15"/>
      <c r="V914" s="15"/>
      <c r="W914" s="15"/>
    </row>
    <row r="915">
      <c r="J915" s="15"/>
      <c r="V915" s="15"/>
      <c r="W915" s="15"/>
    </row>
    <row r="916">
      <c r="J916" s="15"/>
      <c r="V916" s="15"/>
      <c r="W916" s="15"/>
    </row>
    <row r="917">
      <c r="J917" s="15"/>
      <c r="V917" s="15"/>
      <c r="W917" s="15"/>
    </row>
    <row r="918">
      <c r="J918" s="15"/>
      <c r="V918" s="15"/>
      <c r="W918" s="15"/>
    </row>
    <row r="919">
      <c r="J919" s="15"/>
      <c r="V919" s="15"/>
      <c r="W919" s="15"/>
    </row>
    <row r="920">
      <c r="J920" s="15"/>
      <c r="V920" s="15"/>
      <c r="W920" s="15"/>
    </row>
    <row r="921">
      <c r="J921" s="15"/>
      <c r="V921" s="15"/>
      <c r="W921" s="15"/>
    </row>
    <row r="922">
      <c r="J922" s="15"/>
      <c r="V922" s="15"/>
      <c r="W922" s="15"/>
    </row>
    <row r="923">
      <c r="J923" s="15"/>
      <c r="V923" s="15"/>
      <c r="W923" s="15"/>
    </row>
    <row r="924">
      <c r="J924" s="15"/>
      <c r="V924" s="15"/>
      <c r="W924" s="15"/>
    </row>
    <row r="925">
      <c r="J925" s="15"/>
      <c r="V925" s="15"/>
      <c r="W925" s="15"/>
    </row>
    <row r="926">
      <c r="J926" s="15"/>
      <c r="V926" s="15"/>
      <c r="W926" s="15"/>
    </row>
    <row r="927">
      <c r="J927" s="15"/>
      <c r="V927" s="15"/>
      <c r="W927" s="15"/>
    </row>
    <row r="928">
      <c r="J928" s="15"/>
      <c r="V928" s="15"/>
      <c r="W928" s="15"/>
    </row>
    <row r="929">
      <c r="J929" s="15"/>
      <c r="V929" s="15"/>
      <c r="W929" s="15"/>
    </row>
    <row r="930">
      <c r="J930" s="15"/>
      <c r="V930" s="15"/>
      <c r="W930" s="15"/>
    </row>
    <row r="931">
      <c r="J931" s="15"/>
      <c r="V931" s="15"/>
      <c r="W931" s="15"/>
    </row>
    <row r="932">
      <c r="J932" s="15"/>
      <c r="V932" s="15"/>
      <c r="W932" s="15"/>
    </row>
    <row r="933">
      <c r="J933" s="15"/>
      <c r="V933" s="15"/>
      <c r="W933" s="15"/>
    </row>
    <row r="934">
      <c r="J934" s="15"/>
      <c r="V934" s="15"/>
      <c r="W934" s="15"/>
    </row>
    <row r="935">
      <c r="J935" s="15"/>
      <c r="V935" s="15"/>
      <c r="W935" s="15"/>
    </row>
    <row r="936">
      <c r="J936" s="15"/>
      <c r="V936" s="15"/>
      <c r="W936" s="15"/>
    </row>
    <row r="937">
      <c r="J937" s="15"/>
      <c r="V937" s="15"/>
      <c r="W937" s="15"/>
    </row>
    <row r="938">
      <c r="J938" s="15"/>
      <c r="V938" s="15"/>
      <c r="W938" s="15"/>
    </row>
    <row r="939">
      <c r="J939" s="15"/>
      <c r="V939" s="15"/>
      <c r="W939" s="15"/>
    </row>
    <row r="940">
      <c r="J940" s="15"/>
      <c r="V940" s="15"/>
      <c r="W940" s="15"/>
    </row>
    <row r="941">
      <c r="J941" s="15"/>
      <c r="V941" s="15"/>
      <c r="W941" s="15"/>
    </row>
    <row r="942">
      <c r="J942" s="15"/>
      <c r="V942" s="15"/>
      <c r="W942" s="15"/>
    </row>
    <row r="943">
      <c r="J943" s="15"/>
      <c r="V943" s="15"/>
      <c r="W943" s="15"/>
    </row>
    <row r="944">
      <c r="J944" s="15"/>
      <c r="V944" s="15"/>
      <c r="W944" s="15"/>
    </row>
    <row r="945">
      <c r="J945" s="15"/>
      <c r="V945" s="15"/>
      <c r="W945" s="15"/>
    </row>
    <row r="946">
      <c r="J946" s="15"/>
      <c r="V946" s="15"/>
      <c r="W946" s="15"/>
    </row>
    <row r="947">
      <c r="J947" s="15"/>
      <c r="V947" s="15"/>
      <c r="W947" s="15"/>
    </row>
    <row r="948">
      <c r="J948" s="15"/>
      <c r="V948" s="15"/>
      <c r="W948" s="15"/>
    </row>
    <row r="949">
      <c r="J949" s="15"/>
      <c r="V949" s="15"/>
      <c r="W949" s="15"/>
    </row>
    <row r="950">
      <c r="J950" s="15"/>
      <c r="V950" s="15"/>
      <c r="W950" s="15"/>
    </row>
    <row r="951">
      <c r="J951" s="15"/>
      <c r="V951" s="15"/>
      <c r="W951" s="15"/>
    </row>
    <row r="952">
      <c r="J952" s="15"/>
      <c r="V952" s="15"/>
      <c r="W952" s="15"/>
    </row>
    <row r="953">
      <c r="J953" s="15"/>
      <c r="V953" s="15"/>
      <c r="W953" s="15"/>
    </row>
    <row r="954">
      <c r="J954" s="15"/>
      <c r="V954" s="15"/>
      <c r="W954" s="15"/>
    </row>
    <row r="955">
      <c r="J955" s="15"/>
      <c r="V955" s="15"/>
      <c r="W955" s="15"/>
    </row>
    <row r="956">
      <c r="J956" s="15"/>
      <c r="V956" s="15"/>
      <c r="W956" s="15"/>
    </row>
    <row r="957">
      <c r="J957" s="15"/>
      <c r="V957" s="15"/>
      <c r="W957" s="15"/>
    </row>
    <row r="958">
      <c r="J958" s="15"/>
      <c r="V958" s="15"/>
      <c r="W958" s="15"/>
    </row>
    <row r="959">
      <c r="J959" s="15"/>
      <c r="V959" s="15"/>
      <c r="W959" s="15"/>
    </row>
    <row r="960">
      <c r="J960" s="15"/>
      <c r="V960" s="15"/>
      <c r="W960" s="15"/>
    </row>
    <row r="961">
      <c r="J961" s="15"/>
      <c r="V961" s="15"/>
      <c r="W961" s="15"/>
    </row>
    <row r="962">
      <c r="J962" s="15"/>
      <c r="V962" s="15"/>
      <c r="W962" s="15"/>
    </row>
    <row r="963">
      <c r="J963" s="15"/>
      <c r="V963" s="15"/>
      <c r="W963" s="15"/>
    </row>
    <row r="964">
      <c r="J964" s="15"/>
      <c r="V964" s="15"/>
      <c r="W964" s="15"/>
    </row>
    <row r="965">
      <c r="J965" s="15"/>
      <c r="V965" s="15"/>
      <c r="W965" s="15"/>
    </row>
    <row r="966">
      <c r="J966" s="15"/>
      <c r="V966" s="15"/>
      <c r="W966" s="15"/>
    </row>
    <row r="967">
      <c r="J967" s="15"/>
      <c r="V967" s="15"/>
      <c r="W967" s="15"/>
    </row>
    <row r="968">
      <c r="J968" s="15"/>
      <c r="V968" s="15"/>
      <c r="W968" s="15"/>
    </row>
    <row r="969">
      <c r="J969" s="15"/>
      <c r="V969" s="15"/>
      <c r="W969" s="15"/>
    </row>
    <row r="970">
      <c r="J970" s="15"/>
      <c r="V970" s="15"/>
      <c r="W970" s="15"/>
    </row>
    <row r="971">
      <c r="J971" s="15"/>
      <c r="V971" s="15"/>
      <c r="W971" s="15"/>
    </row>
    <row r="972">
      <c r="J972" s="15"/>
      <c r="V972" s="15"/>
      <c r="W972" s="15"/>
    </row>
    <row r="973">
      <c r="J973" s="15"/>
      <c r="V973" s="15"/>
      <c r="W973" s="15"/>
    </row>
    <row r="974">
      <c r="J974" s="15"/>
      <c r="V974" s="15"/>
      <c r="W974" s="15"/>
    </row>
    <row r="975">
      <c r="J975" s="15"/>
      <c r="V975" s="15"/>
      <c r="W975" s="15"/>
    </row>
    <row r="976">
      <c r="J976" s="15"/>
      <c r="V976" s="15"/>
      <c r="W976" s="15"/>
    </row>
    <row r="977">
      <c r="J977" s="15"/>
      <c r="V977" s="15"/>
      <c r="W977" s="15"/>
    </row>
    <row r="978">
      <c r="J978" s="15"/>
      <c r="V978" s="15"/>
      <c r="W978" s="15"/>
    </row>
    <row r="979">
      <c r="J979" s="15"/>
      <c r="V979" s="15"/>
      <c r="W979" s="15"/>
    </row>
    <row r="980">
      <c r="J980" s="15"/>
      <c r="V980" s="15"/>
      <c r="W980" s="15"/>
    </row>
    <row r="981">
      <c r="J981" s="15"/>
      <c r="V981" s="15"/>
      <c r="W981" s="15"/>
    </row>
    <row r="982">
      <c r="J982" s="15"/>
      <c r="V982" s="15"/>
      <c r="W982" s="15"/>
    </row>
    <row r="983">
      <c r="J983" s="15"/>
      <c r="V983" s="15"/>
      <c r="W983" s="15"/>
    </row>
    <row r="984">
      <c r="J984" s="15"/>
      <c r="V984" s="15"/>
      <c r="W984" s="15"/>
    </row>
    <row r="985">
      <c r="J985" s="15"/>
      <c r="V985" s="15"/>
      <c r="W985" s="15"/>
    </row>
    <row r="986">
      <c r="J986" s="15"/>
      <c r="V986" s="15"/>
      <c r="W986" s="15"/>
    </row>
    <row r="987">
      <c r="J987" s="15"/>
      <c r="V987" s="15"/>
      <c r="W987" s="15"/>
    </row>
    <row r="988">
      <c r="J988" s="15"/>
      <c r="V988" s="15"/>
      <c r="W988" s="15"/>
    </row>
    <row r="989">
      <c r="J989" s="15"/>
      <c r="V989" s="15"/>
      <c r="W989" s="15"/>
    </row>
    <row r="990">
      <c r="J990" s="15"/>
      <c r="V990" s="15"/>
      <c r="W990" s="15"/>
    </row>
    <row r="991">
      <c r="J991" s="15"/>
      <c r="V991" s="15"/>
      <c r="W991" s="15"/>
    </row>
    <row r="992">
      <c r="J992" s="15"/>
      <c r="V992" s="15"/>
      <c r="W992" s="15"/>
    </row>
    <row r="993">
      <c r="J993" s="15"/>
      <c r="V993" s="15"/>
      <c r="W993" s="15"/>
    </row>
    <row r="994">
      <c r="J994" s="15"/>
      <c r="V994" s="15"/>
      <c r="W994" s="15"/>
    </row>
    <row r="995">
      <c r="J995" s="15"/>
      <c r="V995" s="15"/>
      <c r="W995" s="15"/>
    </row>
    <row r="996">
      <c r="J996" s="15"/>
      <c r="V996" s="15"/>
      <c r="W996" s="15"/>
    </row>
    <row r="997">
      <c r="J997" s="15"/>
      <c r="V997" s="15"/>
      <c r="W997" s="15"/>
    </row>
    <row r="998">
      <c r="J998" s="15"/>
      <c r="V998" s="15"/>
      <c r="W998" s="15"/>
    </row>
    <row r="999">
      <c r="J999" s="15"/>
      <c r="V999" s="15"/>
      <c r="W999" s="15"/>
    </row>
  </sheetData>
  <autoFilter ref="$B$6:$J$37"/>
  <mergeCells count="4">
    <mergeCell ref="B2:C2"/>
    <mergeCell ref="L6:O6"/>
    <mergeCell ref="Q6:R6"/>
    <mergeCell ref="T6:X6"/>
  </mergeCells>
  <conditionalFormatting sqref="G7:G37">
    <cfRule type="colorScale" priority="1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C6:C34">
    <cfRule type="colorScale" priority="2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U8:U13">
    <cfRule type="cellIs" dxfId="0" priority="3" operator="lessThanOrEqual">
      <formula>MEDIAN($C$7:$C$34)</formula>
    </cfRule>
  </conditionalFormatting>
  <conditionalFormatting sqref="U8:U13">
    <cfRule type="cellIs" dxfId="1" priority="4" operator="greaterThan">
      <formula>MEDIAN($C$7:$C$34)</formula>
    </cfRule>
  </conditionalFormatting>
  <conditionalFormatting sqref="R9">
    <cfRule type="cellIs" dxfId="0" priority="5" operator="lessThanOrEqual">
      <formula>COUNT($B:$B) - (#REF! + #REF!)</formula>
    </cfRule>
  </conditionalFormatting>
  <conditionalFormatting sqref="R9">
    <cfRule type="cellIs" dxfId="1" priority="6" operator="greaterThan">
      <formula>COUNT($B:$B) - (#REF! + #REF!)</formula>
    </cfRule>
  </conditionalFormatting>
  <conditionalFormatting sqref="J7:J37">
    <cfRule type="cellIs" dxfId="0" priority="7" operator="equal">
      <formula>"Sim"</formula>
    </cfRule>
  </conditionalFormatting>
  <conditionalFormatting sqref="J7:J37">
    <cfRule type="cellIs" dxfId="1" priority="8" operator="equal">
      <formula>"Não"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13"/>
    <col customWidth="1" min="2" max="2" width="12.63"/>
    <col customWidth="1" min="3" max="3" width="10.88"/>
    <col customWidth="1" min="4" max="4" width="11.5"/>
    <col customWidth="1" min="5" max="6" width="8.38"/>
    <col customWidth="1" min="7" max="7" width="11.13"/>
    <col customWidth="1" min="8" max="9" width="10.0"/>
    <col customWidth="1" min="10" max="10" width="9.5"/>
    <col customWidth="1" min="11" max="11" width="1.5"/>
    <col customWidth="1" min="12" max="12" width="11.88"/>
    <col customWidth="1" min="13" max="13" width="10.25"/>
    <col customWidth="1" min="14" max="14" width="5.13"/>
    <col customWidth="1" min="15" max="15" width="10.13"/>
    <col customWidth="1" min="16" max="16" width="1.5"/>
    <col customWidth="1" min="17" max="17" width="14.38"/>
    <col customWidth="1" min="18" max="18" width="10.88"/>
    <col customWidth="1" min="19" max="19" width="1.38"/>
    <col customWidth="1" min="20" max="20" width="9.25"/>
    <col customWidth="1" min="21" max="21" width="9.13"/>
    <col customWidth="1" min="22" max="22" width="4.63"/>
    <col customWidth="1" min="23" max="23" width="8.38"/>
    <col customWidth="1" min="24" max="24" width="7.75"/>
    <col customWidth="1" min="25" max="25" width="2.63"/>
  </cols>
  <sheetData>
    <row r="1">
      <c r="J1" s="15"/>
      <c r="V1" s="15"/>
      <c r="W1" s="15"/>
    </row>
    <row r="2" ht="22.5" customHeight="1">
      <c r="B2" s="68" t="s">
        <v>40</v>
      </c>
      <c r="C2" s="27"/>
      <c r="J2" s="15"/>
      <c r="V2" s="15"/>
      <c r="W2" s="15"/>
    </row>
    <row r="3">
      <c r="B3" s="69" t="s">
        <v>41</v>
      </c>
      <c r="C3" s="70"/>
      <c r="J3" s="15"/>
      <c r="V3" s="15"/>
      <c r="W3" s="15"/>
    </row>
    <row r="4">
      <c r="B4" s="69" t="s">
        <v>42</v>
      </c>
      <c r="C4" s="71"/>
      <c r="J4" s="15"/>
      <c r="V4" s="15"/>
      <c r="W4" s="15"/>
    </row>
    <row r="5">
      <c r="C5" s="1"/>
      <c r="J5" s="15"/>
      <c r="V5" s="15"/>
      <c r="W5" s="15"/>
    </row>
    <row r="6" ht="35.25" customHeight="1">
      <c r="A6" s="72"/>
      <c r="B6" s="73" t="s">
        <v>25</v>
      </c>
      <c r="C6" s="73" t="s">
        <v>43</v>
      </c>
      <c r="D6" s="73" t="s">
        <v>44</v>
      </c>
      <c r="E6" s="73" t="s">
        <v>45</v>
      </c>
      <c r="F6" s="73" t="s">
        <v>46</v>
      </c>
      <c r="G6" s="73" t="s">
        <v>47</v>
      </c>
      <c r="H6" s="73" t="s">
        <v>48</v>
      </c>
      <c r="I6" s="73" t="s">
        <v>49</v>
      </c>
      <c r="J6" s="73" t="s">
        <v>50</v>
      </c>
      <c r="L6" s="74" t="s">
        <v>51</v>
      </c>
      <c r="M6" s="26"/>
      <c r="N6" s="26"/>
      <c r="O6" s="27"/>
      <c r="Q6" s="74" t="s">
        <v>52</v>
      </c>
      <c r="R6" s="27"/>
      <c r="S6" s="72"/>
      <c r="T6" s="72"/>
    </row>
    <row r="7">
      <c r="A7" s="39"/>
      <c r="B7" s="39">
        <v>46235.0</v>
      </c>
      <c r="C7" s="75"/>
      <c r="D7" s="75"/>
      <c r="E7" s="75"/>
      <c r="F7" s="75"/>
      <c r="G7" s="56" t="str">
        <f t="shared" ref="G7:G36" si="1">IF(SUM(D7:F7) = 0, , (SUM(D7:F7)))</f>
        <v/>
      </c>
      <c r="H7" s="76" t="str">
        <f t="shared" ref="H7:H34" si="2">IFERROR(G7/C7, )</f>
        <v/>
      </c>
      <c r="I7" s="77">
        <f t="shared" ref="I7:I36" si="3">IFERROR(H7/25 * ($C$3/10), )</f>
        <v>0</v>
      </c>
      <c r="J7" s="41" t="str">
        <f t="shared" ref="J7:J36" si="4">IF(B7 &gt; TODAY(), "", IF(G7 = "", "Não", "Sim"))
</f>
        <v/>
      </c>
      <c r="L7" s="78"/>
      <c r="M7" s="79" t="s">
        <v>53</v>
      </c>
      <c r="N7" s="80" t="s">
        <v>54</v>
      </c>
      <c r="O7" s="81" t="s">
        <v>55</v>
      </c>
      <c r="Q7" s="82"/>
      <c r="R7" s="69" t="s">
        <v>56</v>
      </c>
      <c r="T7" s="2"/>
      <c r="U7" s="2"/>
      <c r="V7" s="2"/>
      <c r="W7" s="2"/>
      <c r="X7" s="83"/>
      <c r="Y7" s="2"/>
    </row>
    <row r="8">
      <c r="A8" s="39"/>
      <c r="B8" s="39">
        <v>46236.0</v>
      </c>
      <c r="C8" s="75"/>
      <c r="D8" s="75"/>
      <c r="E8" s="75"/>
      <c r="F8" s="75"/>
      <c r="G8" s="56" t="str">
        <f t="shared" si="1"/>
        <v/>
      </c>
      <c r="H8" s="76" t="str">
        <f t="shared" si="2"/>
        <v/>
      </c>
      <c r="I8" s="77">
        <f t="shared" si="3"/>
        <v>0</v>
      </c>
      <c r="J8" s="41" t="str">
        <f t="shared" si="4"/>
        <v/>
      </c>
      <c r="L8" s="84" t="s">
        <v>0</v>
      </c>
      <c r="M8" s="85" t="str">
        <f> IFERROR(MEDIAN(C7:C998), )</f>
        <v/>
      </c>
      <c r="N8" s="86"/>
      <c r="O8" s="87"/>
      <c r="P8" s="88"/>
      <c r="Q8" s="89" t="s">
        <v>57</v>
      </c>
      <c r="R8" s="17">
        <f>Count(B:B)</f>
        <v>31</v>
      </c>
      <c r="T8" s="90"/>
      <c r="U8" s="91"/>
      <c r="V8" s="2"/>
      <c r="W8" s="91"/>
      <c r="X8" s="92"/>
      <c r="Y8" s="56"/>
    </row>
    <row r="9">
      <c r="A9" s="39"/>
      <c r="B9" s="39">
        <v>46237.0</v>
      </c>
      <c r="C9" s="75"/>
      <c r="D9" s="75"/>
      <c r="E9" s="75"/>
      <c r="F9" s="75"/>
      <c r="G9" s="56" t="str">
        <f t="shared" si="1"/>
        <v/>
      </c>
      <c r="H9" s="76" t="str">
        <f t="shared" si="2"/>
        <v/>
      </c>
      <c r="I9" s="77">
        <f t="shared" si="3"/>
        <v>0</v>
      </c>
      <c r="J9" s="41" t="str">
        <f t="shared" si="4"/>
        <v/>
      </c>
      <c r="L9" s="89" t="s">
        <v>2</v>
      </c>
      <c r="M9" s="56" t="str">
        <f t="shared" ref="M9:N9" si="5"> IFERROR(MEDIAN(G7:G998), )</f>
        <v/>
      </c>
      <c r="N9" s="56" t="str">
        <f t="shared" si="5"/>
        <v/>
      </c>
      <c r="O9" s="93">
        <f> IFERROR($N$9 * ($C$3/10)  / 25, )</f>
        <v>0</v>
      </c>
      <c r="P9" s="88"/>
      <c r="Q9" s="89" t="s">
        <v>58</v>
      </c>
      <c r="R9" s="17">
        <f>COUNTIF(J:J, "=Sim")</f>
        <v>0</v>
      </c>
      <c r="T9" s="90"/>
      <c r="U9" s="91"/>
      <c r="V9" s="2"/>
      <c r="W9" s="91"/>
      <c r="X9" s="92"/>
      <c r="Y9" s="56"/>
    </row>
    <row r="10">
      <c r="A10" s="39"/>
      <c r="B10" s="39">
        <v>46238.0</v>
      </c>
      <c r="C10" s="75"/>
      <c r="D10" s="75"/>
      <c r="E10" s="75"/>
      <c r="F10" s="75"/>
      <c r="G10" s="56" t="str">
        <f t="shared" si="1"/>
        <v/>
      </c>
      <c r="H10" s="76" t="str">
        <f t="shared" si="2"/>
        <v/>
      </c>
      <c r="I10" s="77">
        <f t="shared" si="3"/>
        <v>0</v>
      </c>
      <c r="J10" s="41" t="str">
        <f t="shared" si="4"/>
        <v/>
      </c>
      <c r="L10" s="89" t="s">
        <v>59</v>
      </c>
      <c r="M10" s="94">
        <f>IFERROR(SUM(G7:G998), )</f>
        <v>0</v>
      </c>
      <c r="N10" s="95" t="str">
        <f> IFERROR($M$10 / $M$8, )</f>
        <v/>
      </c>
      <c r="O10" s="93">
        <f> IFERROR($N$10 * ($C$3/10)  / 25, )</f>
        <v>0</v>
      </c>
      <c r="P10" s="88"/>
      <c r="Q10" s="89" t="s">
        <v>60</v>
      </c>
      <c r="R10" s="96" t="str">
        <f>IFERROR(M12/M9, )</f>
        <v/>
      </c>
      <c r="T10" s="90"/>
      <c r="U10" s="91"/>
      <c r="V10" s="2"/>
      <c r="W10" s="91"/>
      <c r="X10" s="92"/>
      <c r="Y10" s="56"/>
    </row>
    <row r="11">
      <c r="A11" s="39"/>
      <c r="B11" s="39">
        <v>46239.0</v>
      </c>
      <c r="C11" s="75"/>
      <c r="D11" s="75"/>
      <c r="E11" s="75"/>
      <c r="F11" s="75"/>
      <c r="G11" s="56" t="str">
        <f t="shared" si="1"/>
        <v/>
      </c>
      <c r="H11" s="76" t="str">
        <f t="shared" si="2"/>
        <v/>
      </c>
      <c r="I11" s="77">
        <f t="shared" si="3"/>
        <v>0</v>
      </c>
      <c r="J11" s="41" t="str">
        <f t="shared" si="4"/>
        <v/>
      </c>
      <c r="L11" s="89" t="s">
        <v>61</v>
      </c>
      <c r="M11" s="75">
        <f> IFERROR($N$11 * $M$8, )</f>
        <v>0</v>
      </c>
      <c r="N11" s="98" t="str">
        <f> IFERROR($C$4, )</f>
        <v/>
      </c>
      <c r="O11" s="93">
        <f> IFERROR($N$11 * ($C$3/10)  / 25,"")</f>
        <v>0</v>
      </c>
      <c r="Q11" s="89" t="s">
        <v>62</v>
      </c>
      <c r="R11" s="17">
        <f>COUNTIF($J:$J, "=Não")</f>
        <v>0</v>
      </c>
      <c r="T11" s="90"/>
      <c r="U11" s="91"/>
      <c r="V11" s="2"/>
      <c r="W11" s="91"/>
      <c r="X11" s="92"/>
      <c r="Y11" s="56"/>
    </row>
    <row r="12">
      <c r="A12" s="39"/>
      <c r="B12" s="39">
        <v>46240.0</v>
      </c>
      <c r="C12" s="75"/>
      <c r="D12" s="75"/>
      <c r="E12" s="56"/>
      <c r="F12" s="75"/>
      <c r="G12" s="56" t="str">
        <f t="shared" si="1"/>
        <v/>
      </c>
      <c r="H12" s="76" t="str">
        <f t="shared" si="2"/>
        <v/>
      </c>
      <c r="I12" s="77">
        <f t="shared" si="3"/>
        <v>0</v>
      </c>
      <c r="J12" s="41" t="str">
        <f t="shared" si="4"/>
        <v/>
      </c>
      <c r="L12" s="89" t="s">
        <v>63</v>
      </c>
      <c r="M12" s="56">
        <f> IFERROR($M$11 - $M$10, )</f>
        <v>0</v>
      </c>
      <c r="N12" s="56">
        <f>N11 - N10</f>
        <v>0</v>
      </c>
      <c r="O12" s="93">
        <f> IFERROR($N$12 * ($C$3/10)  / 25, )</f>
        <v>0</v>
      </c>
      <c r="Q12" s="89" t="s">
        <v>64</v>
      </c>
      <c r="R12" s="96">
        <f>R8 - R9 - R10</f>
        <v>31</v>
      </c>
      <c r="T12" s="90"/>
      <c r="U12" s="91"/>
      <c r="V12" s="2"/>
      <c r="W12" s="91"/>
      <c r="X12" s="92"/>
      <c r="Y12" s="56"/>
    </row>
    <row r="13">
      <c r="A13" s="39"/>
      <c r="B13" s="39">
        <v>46241.0</v>
      </c>
      <c r="C13" s="75"/>
      <c r="D13" s="75"/>
      <c r="E13" s="75"/>
      <c r="F13" s="75"/>
      <c r="G13" s="56" t="str">
        <f t="shared" si="1"/>
        <v/>
      </c>
      <c r="H13" s="76" t="str">
        <f t="shared" si="2"/>
        <v/>
      </c>
      <c r="I13" s="77">
        <f t="shared" si="3"/>
        <v>0</v>
      </c>
      <c r="J13" s="41" t="str">
        <f t="shared" si="4"/>
        <v/>
      </c>
      <c r="L13" s="99"/>
      <c r="M13" s="100"/>
      <c r="N13" s="100"/>
      <c r="O13" s="101"/>
      <c r="Q13" s="99" t="s">
        <v>7</v>
      </c>
      <c r="R13" s="23" t="str">
        <f>IF(M10 &gt;= M11, "🔵 Concluído", IF((R8-R9)-R10-R11&gt;=2, "🟢 Seguro", IF((R8-R9)-R10-R11&gt;=0, "🟡 Atenção", "🔴 Risco")))</f>
        <v>🔵 Concluído</v>
      </c>
      <c r="T13" s="90"/>
      <c r="U13" s="91"/>
      <c r="V13" s="2"/>
      <c r="W13" s="91"/>
      <c r="X13" s="92"/>
      <c r="Y13" s="56"/>
    </row>
    <row r="14">
      <c r="A14" s="39"/>
      <c r="B14" s="39">
        <v>46242.0</v>
      </c>
      <c r="C14" s="75"/>
      <c r="D14" s="75"/>
      <c r="E14" s="75"/>
      <c r="F14" s="75"/>
      <c r="G14" s="56" t="str">
        <f t="shared" si="1"/>
        <v/>
      </c>
      <c r="H14" s="76" t="str">
        <f t="shared" si="2"/>
        <v/>
      </c>
      <c r="I14" s="77">
        <f t="shared" si="3"/>
        <v>0</v>
      </c>
      <c r="J14" s="41" t="str">
        <f t="shared" si="4"/>
        <v/>
      </c>
      <c r="L14" s="1"/>
      <c r="M14" s="1"/>
      <c r="N14" s="1"/>
      <c r="O14" s="1"/>
      <c r="Q14" s="1"/>
      <c r="R14" s="15"/>
      <c r="V14" s="15"/>
      <c r="W14" s="15"/>
      <c r="Y14" s="56"/>
    </row>
    <row r="15">
      <c r="A15" s="39"/>
      <c r="B15" s="39">
        <v>46243.0</v>
      </c>
      <c r="C15" s="75"/>
      <c r="D15" s="75"/>
      <c r="E15" s="75"/>
      <c r="F15" s="75"/>
      <c r="G15" s="56" t="str">
        <f t="shared" si="1"/>
        <v/>
      </c>
      <c r="H15" s="76" t="str">
        <f t="shared" si="2"/>
        <v/>
      </c>
      <c r="I15" s="77">
        <f t="shared" si="3"/>
        <v>0</v>
      </c>
      <c r="J15" s="41" t="str">
        <f t="shared" si="4"/>
        <v/>
      </c>
      <c r="L15" s="1"/>
      <c r="V15" s="15"/>
      <c r="W15" s="15"/>
    </row>
    <row r="16">
      <c r="A16" s="39"/>
      <c r="B16" s="39">
        <v>46244.0</v>
      </c>
      <c r="C16" s="75"/>
      <c r="D16" s="75"/>
      <c r="E16" s="75"/>
      <c r="F16" s="75"/>
      <c r="G16" s="56" t="str">
        <f t="shared" si="1"/>
        <v/>
      </c>
      <c r="H16" s="76" t="str">
        <f t="shared" si="2"/>
        <v/>
      </c>
      <c r="I16" s="77">
        <f t="shared" si="3"/>
        <v>0</v>
      </c>
      <c r="J16" s="41" t="str">
        <f t="shared" si="4"/>
        <v/>
      </c>
      <c r="N16" s="102"/>
      <c r="V16" s="15"/>
      <c r="W16" s="15"/>
    </row>
    <row r="17">
      <c r="A17" s="39"/>
      <c r="B17" s="39">
        <v>46245.0</v>
      </c>
      <c r="C17" s="75"/>
      <c r="D17" s="75"/>
      <c r="E17" s="75"/>
      <c r="F17" s="75"/>
      <c r="G17" s="56" t="str">
        <f t="shared" si="1"/>
        <v/>
      </c>
      <c r="H17" s="76" t="str">
        <f t="shared" si="2"/>
        <v/>
      </c>
      <c r="I17" s="77">
        <f t="shared" si="3"/>
        <v>0</v>
      </c>
      <c r="J17" s="41" t="str">
        <f t="shared" si="4"/>
        <v/>
      </c>
      <c r="V17" s="15"/>
      <c r="W17" s="15"/>
    </row>
    <row r="18">
      <c r="A18" s="39"/>
      <c r="B18" s="39">
        <v>46246.0</v>
      </c>
      <c r="C18" s="56"/>
      <c r="D18" s="56"/>
      <c r="E18" s="56"/>
      <c r="F18" s="56"/>
      <c r="G18" s="56" t="str">
        <f t="shared" si="1"/>
        <v/>
      </c>
      <c r="H18" s="76" t="str">
        <f t="shared" si="2"/>
        <v/>
      </c>
      <c r="I18" s="77">
        <f t="shared" si="3"/>
        <v>0</v>
      </c>
      <c r="J18" s="41" t="str">
        <f t="shared" si="4"/>
        <v/>
      </c>
      <c r="V18" s="15"/>
      <c r="W18" s="15"/>
    </row>
    <row r="19">
      <c r="A19" s="39"/>
      <c r="B19" s="39">
        <v>46247.0</v>
      </c>
      <c r="C19" s="56"/>
      <c r="D19" s="56"/>
      <c r="E19" s="56"/>
      <c r="F19" s="56"/>
      <c r="G19" s="56" t="str">
        <f t="shared" si="1"/>
        <v/>
      </c>
      <c r="H19" s="76" t="str">
        <f t="shared" si="2"/>
        <v/>
      </c>
      <c r="I19" s="77">
        <f t="shared" si="3"/>
        <v>0</v>
      </c>
      <c r="J19" s="41" t="str">
        <f t="shared" si="4"/>
        <v/>
      </c>
      <c r="V19" s="15"/>
      <c r="W19" s="15"/>
    </row>
    <row r="20">
      <c r="A20" s="39"/>
      <c r="B20" s="39">
        <v>46248.0</v>
      </c>
      <c r="C20" s="56"/>
      <c r="D20" s="56"/>
      <c r="E20" s="56"/>
      <c r="F20" s="56"/>
      <c r="G20" s="56" t="str">
        <f t="shared" si="1"/>
        <v/>
      </c>
      <c r="H20" s="76" t="str">
        <f t="shared" si="2"/>
        <v/>
      </c>
      <c r="I20" s="77">
        <f t="shared" si="3"/>
        <v>0</v>
      </c>
      <c r="J20" s="41" t="str">
        <f t="shared" si="4"/>
        <v/>
      </c>
      <c r="V20" s="15"/>
      <c r="W20" s="15"/>
    </row>
    <row r="21">
      <c r="A21" s="39"/>
      <c r="B21" s="39">
        <v>46249.0</v>
      </c>
      <c r="C21" s="56"/>
      <c r="D21" s="56"/>
      <c r="E21" s="56"/>
      <c r="F21" s="56"/>
      <c r="G21" s="56" t="str">
        <f t="shared" si="1"/>
        <v/>
      </c>
      <c r="H21" s="76" t="str">
        <f t="shared" si="2"/>
        <v/>
      </c>
      <c r="I21" s="77">
        <f t="shared" si="3"/>
        <v>0</v>
      </c>
      <c r="J21" s="41" t="str">
        <f t="shared" si="4"/>
        <v/>
      </c>
      <c r="V21" s="15"/>
      <c r="W21" s="15"/>
    </row>
    <row r="22">
      <c r="A22" s="39"/>
      <c r="B22" s="39">
        <v>46250.0</v>
      </c>
      <c r="C22" s="56"/>
      <c r="D22" s="56"/>
      <c r="E22" s="56"/>
      <c r="F22" s="56"/>
      <c r="G22" s="56" t="str">
        <f t="shared" si="1"/>
        <v/>
      </c>
      <c r="H22" s="76" t="str">
        <f t="shared" si="2"/>
        <v/>
      </c>
      <c r="I22" s="77">
        <f t="shared" si="3"/>
        <v>0</v>
      </c>
      <c r="J22" s="41" t="str">
        <f t="shared" si="4"/>
        <v/>
      </c>
      <c r="V22" s="15"/>
      <c r="W22" s="15"/>
    </row>
    <row r="23">
      <c r="A23" s="39"/>
      <c r="B23" s="39">
        <v>46251.0</v>
      </c>
      <c r="C23" s="56"/>
      <c r="D23" s="56"/>
      <c r="E23" s="56"/>
      <c r="F23" s="56"/>
      <c r="G23" s="56" t="str">
        <f t="shared" si="1"/>
        <v/>
      </c>
      <c r="H23" s="76" t="str">
        <f t="shared" si="2"/>
        <v/>
      </c>
      <c r="I23" s="77">
        <f t="shared" si="3"/>
        <v>0</v>
      </c>
      <c r="J23" s="41" t="str">
        <f t="shared" si="4"/>
        <v/>
      </c>
      <c r="V23" s="15"/>
      <c r="W23" s="15"/>
    </row>
    <row r="24">
      <c r="A24" s="39"/>
      <c r="B24" s="39">
        <v>46252.0</v>
      </c>
      <c r="C24" s="56"/>
      <c r="D24" s="56"/>
      <c r="E24" s="56"/>
      <c r="F24" s="56"/>
      <c r="G24" s="56" t="str">
        <f t="shared" si="1"/>
        <v/>
      </c>
      <c r="H24" s="76" t="str">
        <f t="shared" si="2"/>
        <v/>
      </c>
      <c r="I24" s="77">
        <f t="shared" si="3"/>
        <v>0</v>
      </c>
      <c r="J24" s="41" t="str">
        <f t="shared" si="4"/>
        <v/>
      </c>
      <c r="N24" s="1"/>
      <c r="V24" s="15"/>
      <c r="W24" s="15"/>
    </row>
    <row r="25">
      <c r="A25" s="39"/>
      <c r="B25" s="39">
        <v>46253.0</v>
      </c>
      <c r="C25" s="75"/>
      <c r="D25" s="56"/>
      <c r="E25" s="75"/>
      <c r="F25" s="75"/>
      <c r="G25" s="56" t="str">
        <f t="shared" si="1"/>
        <v/>
      </c>
      <c r="H25" s="76" t="str">
        <f t="shared" si="2"/>
        <v/>
      </c>
      <c r="I25" s="77">
        <f t="shared" si="3"/>
        <v>0</v>
      </c>
      <c r="J25" s="41" t="str">
        <f t="shared" si="4"/>
        <v/>
      </c>
      <c r="V25" s="15"/>
      <c r="W25" s="15"/>
    </row>
    <row r="26">
      <c r="A26" s="39"/>
      <c r="B26" s="39">
        <v>46254.0</v>
      </c>
      <c r="C26" s="75"/>
      <c r="D26" s="56"/>
      <c r="E26" s="56"/>
      <c r="F26" s="75"/>
      <c r="G26" s="56" t="str">
        <f t="shared" si="1"/>
        <v/>
      </c>
      <c r="H26" s="76" t="str">
        <f t="shared" si="2"/>
        <v/>
      </c>
      <c r="I26" s="77">
        <f t="shared" si="3"/>
        <v>0</v>
      </c>
      <c r="J26" s="41" t="str">
        <f t="shared" si="4"/>
        <v/>
      </c>
      <c r="V26" s="15"/>
      <c r="W26" s="15"/>
    </row>
    <row r="27">
      <c r="A27" s="39"/>
      <c r="B27" s="39">
        <v>46255.0</v>
      </c>
      <c r="C27" s="75"/>
      <c r="D27" s="75"/>
      <c r="E27" s="75"/>
      <c r="F27" s="75"/>
      <c r="G27" s="56" t="str">
        <f t="shared" si="1"/>
        <v/>
      </c>
      <c r="H27" s="76" t="str">
        <f t="shared" si="2"/>
        <v/>
      </c>
      <c r="I27" s="77">
        <f t="shared" si="3"/>
        <v>0</v>
      </c>
      <c r="J27" s="41" t="str">
        <f t="shared" si="4"/>
        <v/>
      </c>
      <c r="V27" s="15"/>
      <c r="W27" s="15"/>
    </row>
    <row r="28">
      <c r="A28" s="39"/>
      <c r="B28" s="39">
        <v>46256.0</v>
      </c>
      <c r="C28" s="75"/>
      <c r="D28" s="56"/>
      <c r="E28" s="56"/>
      <c r="F28" s="75"/>
      <c r="G28" s="56" t="str">
        <f t="shared" si="1"/>
        <v/>
      </c>
      <c r="H28" s="104" t="str">
        <f t="shared" si="2"/>
        <v/>
      </c>
      <c r="I28" s="77">
        <f t="shared" si="3"/>
        <v>0</v>
      </c>
      <c r="J28" s="41" t="str">
        <f t="shared" si="4"/>
        <v/>
      </c>
      <c r="N28" s="1"/>
      <c r="V28" s="15"/>
      <c r="W28" s="15"/>
    </row>
    <row r="29">
      <c r="A29" s="39"/>
      <c r="B29" s="39">
        <v>46257.0</v>
      </c>
      <c r="C29" s="75"/>
      <c r="D29" s="56"/>
      <c r="E29" s="56"/>
      <c r="F29" s="75"/>
      <c r="G29" s="56" t="str">
        <f t="shared" si="1"/>
        <v/>
      </c>
      <c r="H29" s="104" t="str">
        <f t="shared" si="2"/>
        <v/>
      </c>
      <c r="I29" s="77">
        <f t="shared" si="3"/>
        <v>0</v>
      </c>
      <c r="J29" s="41" t="str">
        <f t="shared" si="4"/>
        <v/>
      </c>
      <c r="V29" s="15"/>
      <c r="W29" s="15"/>
    </row>
    <row r="30">
      <c r="A30" s="39"/>
      <c r="B30" s="39">
        <v>46258.0</v>
      </c>
      <c r="C30" s="56"/>
      <c r="D30" s="56"/>
      <c r="E30" s="56"/>
      <c r="F30" s="56"/>
      <c r="G30" s="56" t="str">
        <f t="shared" si="1"/>
        <v/>
      </c>
      <c r="H30" s="104" t="str">
        <f t="shared" si="2"/>
        <v/>
      </c>
      <c r="I30" s="77">
        <f t="shared" si="3"/>
        <v>0</v>
      </c>
      <c r="J30" s="41" t="str">
        <f t="shared" si="4"/>
        <v/>
      </c>
      <c r="V30" s="15"/>
      <c r="W30" s="15"/>
    </row>
    <row r="31">
      <c r="A31" s="39"/>
      <c r="B31" s="39">
        <v>46259.0</v>
      </c>
      <c r="C31" s="56"/>
      <c r="D31" s="56"/>
      <c r="E31" s="56"/>
      <c r="F31" s="56"/>
      <c r="G31" s="56" t="str">
        <f t="shared" si="1"/>
        <v/>
      </c>
      <c r="H31" s="104" t="str">
        <f t="shared" si="2"/>
        <v/>
      </c>
      <c r="I31" s="77">
        <f t="shared" si="3"/>
        <v>0</v>
      </c>
      <c r="J31" s="41" t="str">
        <f t="shared" si="4"/>
        <v/>
      </c>
      <c r="V31" s="15"/>
      <c r="W31" s="15"/>
    </row>
    <row r="32">
      <c r="A32" s="39"/>
      <c r="B32" s="39">
        <v>46260.0</v>
      </c>
      <c r="C32" s="56"/>
      <c r="D32" s="56"/>
      <c r="E32" s="56"/>
      <c r="F32" s="56"/>
      <c r="G32" s="56" t="str">
        <f t="shared" si="1"/>
        <v/>
      </c>
      <c r="H32" s="104" t="str">
        <f t="shared" si="2"/>
        <v/>
      </c>
      <c r="I32" s="77">
        <f t="shared" si="3"/>
        <v>0</v>
      </c>
      <c r="J32" s="41" t="str">
        <f t="shared" si="4"/>
        <v/>
      </c>
      <c r="V32" s="15"/>
      <c r="W32" s="15"/>
    </row>
    <row r="33">
      <c r="A33" s="39"/>
      <c r="B33" s="39">
        <v>46261.0</v>
      </c>
      <c r="C33" s="56"/>
      <c r="D33" s="56"/>
      <c r="E33" s="56"/>
      <c r="F33" s="56"/>
      <c r="G33" s="56" t="str">
        <f t="shared" si="1"/>
        <v/>
      </c>
      <c r="H33" s="104" t="str">
        <f t="shared" si="2"/>
        <v/>
      </c>
      <c r="I33" s="77">
        <f t="shared" si="3"/>
        <v>0</v>
      </c>
      <c r="J33" s="41" t="str">
        <f t="shared" si="4"/>
        <v/>
      </c>
      <c r="V33" s="15"/>
      <c r="W33" s="15"/>
    </row>
    <row r="34">
      <c r="A34" s="39"/>
      <c r="B34" s="39">
        <v>46262.0</v>
      </c>
      <c r="C34" s="56"/>
      <c r="D34" s="56"/>
      <c r="E34" s="56"/>
      <c r="F34" s="56"/>
      <c r="G34" s="56" t="str">
        <f t="shared" si="1"/>
        <v/>
      </c>
      <c r="H34" s="104" t="str">
        <f t="shared" si="2"/>
        <v/>
      </c>
      <c r="I34" s="77">
        <f t="shared" si="3"/>
        <v>0</v>
      </c>
      <c r="J34" s="41" t="str">
        <f t="shared" si="4"/>
        <v/>
      </c>
      <c r="V34" s="15"/>
      <c r="W34" s="15"/>
    </row>
    <row r="35">
      <c r="B35" s="39">
        <v>46263.0</v>
      </c>
      <c r="G35" s="56" t="str">
        <f t="shared" si="1"/>
        <v/>
      </c>
      <c r="I35" s="77">
        <f t="shared" si="3"/>
        <v>0</v>
      </c>
      <c r="J35" s="41" t="str">
        <f t="shared" si="4"/>
        <v/>
      </c>
      <c r="V35" s="15"/>
      <c r="W35" s="15"/>
    </row>
    <row r="36">
      <c r="B36" s="39">
        <v>46264.0</v>
      </c>
      <c r="G36" s="56" t="str">
        <f t="shared" si="1"/>
        <v/>
      </c>
      <c r="H36" s="104" t="str">
        <f>IFERROR(G35/C35, )</f>
        <v/>
      </c>
      <c r="I36" s="77">
        <f t="shared" si="3"/>
        <v>0</v>
      </c>
      <c r="J36" s="41" t="str">
        <f t="shared" si="4"/>
        <v/>
      </c>
      <c r="V36" s="15"/>
      <c r="W36" s="15"/>
    </row>
    <row r="37">
      <c r="B37" s="39">
        <v>46265.0</v>
      </c>
      <c r="J37" s="15"/>
      <c r="V37" s="15"/>
      <c r="W37" s="15"/>
    </row>
    <row r="38">
      <c r="J38" s="15"/>
      <c r="V38" s="15"/>
      <c r="W38" s="15"/>
    </row>
    <row r="39">
      <c r="J39" s="15"/>
      <c r="V39" s="15"/>
      <c r="W39" s="15"/>
    </row>
    <row r="40">
      <c r="J40" s="15"/>
      <c r="V40" s="15"/>
      <c r="W40" s="15"/>
    </row>
    <row r="41">
      <c r="J41" s="15"/>
      <c r="V41" s="15"/>
      <c r="W41" s="15"/>
    </row>
    <row r="42">
      <c r="J42" s="15"/>
      <c r="V42" s="15"/>
      <c r="W42" s="15"/>
    </row>
    <row r="43">
      <c r="J43" s="15"/>
      <c r="V43" s="15"/>
      <c r="W43" s="15"/>
    </row>
    <row r="44">
      <c r="J44" s="15"/>
      <c r="V44" s="15"/>
      <c r="W44" s="15"/>
    </row>
    <row r="45">
      <c r="J45" s="15"/>
      <c r="V45" s="15"/>
      <c r="W45" s="15"/>
    </row>
    <row r="46">
      <c r="J46" s="15"/>
      <c r="V46" s="15"/>
      <c r="W46" s="15"/>
    </row>
    <row r="47">
      <c r="J47" s="15"/>
      <c r="V47" s="15"/>
      <c r="W47" s="15"/>
    </row>
    <row r="48">
      <c r="J48" s="15"/>
      <c r="V48" s="15"/>
      <c r="W48" s="15"/>
    </row>
    <row r="49">
      <c r="J49" s="15"/>
      <c r="V49" s="15"/>
      <c r="W49" s="15"/>
    </row>
    <row r="50">
      <c r="J50" s="15"/>
      <c r="V50" s="15"/>
      <c r="W50" s="15"/>
    </row>
    <row r="51">
      <c r="J51" s="15"/>
      <c r="V51" s="15"/>
      <c r="W51" s="15"/>
    </row>
    <row r="52">
      <c r="J52" s="15"/>
      <c r="V52" s="15"/>
      <c r="W52" s="15"/>
    </row>
    <row r="53">
      <c r="J53" s="15"/>
      <c r="V53" s="15"/>
      <c r="W53" s="15"/>
    </row>
    <row r="54">
      <c r="J54" s="15"/>
      <c r="V54" s="15"/>
      <c r="W54" s="15"/>
    </row>
    <row r="55">
      <c r="J55" s="15"/>
      <c r="V55" s="15"/>
      <c r="W55" s="15"/>
    </row>
    <row r="56">
      <c r="J56" s="15"/>
      <c r="V56" s="15"/>
      <c r="W56" s="15"/>
    </row>
    <row r="57">
      <c r="J57" s="15"/>
      <c r="V57" s="15"/>
      <c r="W57" s="15"/>
    </row>
    <row r="58">
      <c r="J58" s="15"/>
      <c r="V58" s="15"/>
      <c r="W58" s="15"/>
    </row>
    <row r="59">
      <c r="J59" s="15"/>
      <c r="V59" s="15"/>
      <c r="W59" s="15"/>
    </row>
    <row r="60">
      <c r="J60" s="15"/>
      <c r="V60" s="15"/>
      <c r="W60" s="15"/>
    </row>
    <row r="61">
      <c r="J61" s="15"/>
      <c r="V61" s="15"/>
      <c r="W61" s="15"/>
    </row>
    <row r="62">
      <c r="J62" s="15"/>
      <c r="V62" s="15"/>
      <c r="W62" s="15"/>
    </row>
    <row r="63">
      <c r="J63" s="15"/>
      <c r="V63" s="15"/>
      <c r="W63" s="15"/>
    </row>
    <row r="64">
      <c r="J64" s="15"/>
      <c r="V64" s="15"/>
      <c r="W64" s="15"/>
    </row>
    <row r="65">
      <c r="J65" s="15"/>
      <c r="V65" s="15"/>
      <c r="W65" s="15"/>
    </row>
    <row r="66">
      <c r="J66" s="15"/>
      <c r="V66" s="15"/>
      <c r="W66" s="15"/>
    </row>
    <row r="67">
      <c r="J67" s="15"/>
      <c r="V67" s="15"/>
      <c r="W67" s="15"/>
    </row>
    <row r="68">
      <c r="J68" s="15"/>
      <c r="V68" s="15"/>
      <c r="W68" s="15"/>
    </row>
    <row r="69">
      <c r="J69" s="15"/>
      <c r="V69" s="15"/>
      <c r="W69" s="15"/>
    </row>
    <row r="70">
      <c r="J70" s="15"/>
      <c r="V70" s="15"/>
      <c r="W70" s="15"/>
    </row>
    <row r="71">
      <c r="J71" s="15"/>
      <c r="V71" s="15"/>
      <c r="W71" s="15"/>
    </row>
    <row r="72">
      <c r="J72" s="15"/>
      <c r="V72" s="15"/>
      <c r="W72" s="15"/>
    </row>
    <row r="73">
      <c r="J73" s="15"/>
      <c r="V73" s="15"/>
      <c r="W73" s="15"/>
    </row>
    <row r="74">
      <c r="J74" s="15"/>
      <c r="V74" s="15"/>
      <c r="W74" s="15"/>
    </row>
    <row r="75">
      <c r="J75" s="15"/>
      <c r="V75" s="15"/>
      <c r="W75" s="15"/>
    </row>
    <row r="76">
      <c r="J76" s="15"/>
      <c r="V76" s="15"/>
      <c r="W76" s="15"/>
    </row>
    <row r="77">
      <c r="J77" s="15"/>
      <c r="V77" s="15"/>
      <c r="W77" s="15"/>
    </row>
    <row r="78">
      <c r="J78" s="15"/>
      <c r="V78" s="15"/>
      <c r="W78" s="15"/>
    </row>
    <row r="79">
      <c r="J79" s="15"/>
      <c r="V79" s="15"/>
      <c r="W79" s="15"/>
    </row>
    <row r="80">
      <c r="J80" s="15"/>
      <c r="V80" s="15"/>
      <c r="W80" s="15"/>
    </row>
    <row r="81">
      <c r="J81" s="15"/>
      <c r="V81" s="15"/>
      <c r="W81" s="15"/>
    </row>
    <row r="82">
      <c r="J82" s="15"/>
      <c r="V82" s="15"/>
      <c r="W82" s="15"/>
    </row>
    <row r="83">
      <c r="J83" s="15"/>
      <c r="V83" s="15"/>
      <c r="W83" s="15"/>
    </row>
    <row r="84">
      <c r="J84" s="15"/>
      <c r="V84" s="15"/>
      <c r="W84" s="15"/>
    </row>
    <row r="85">
      <c r="J85" s="15"/>
      <c r="V85" s="15"/>
      <c r="W85" s="15"/>
    </row>
    <row r="86">
      <c r="J86" s="15"/>
      <c r="V86" s="15"/>
      <c r="W86" s="15"/>
    </row>
    <row r="87">
      <c r="J87" s="15"/>
      <c r="V87" s="15"/>
      <c r="W87" s="15"/>
    </row>
    <row r="88">
      <c r="J88" s="15"/>
      <c r="V88" s="15"/>
      <c r="W88" s="15"/>
    </row>
    <row r="89">
      <c r="J89" s="15"/>
      <c r="V89" s="15"/>
      <c r="W89" s="15"/>
    </row>
    <row r="90">
      <c r="J90" s="15"/>
      <c r="V90" s="15"/>
      <c r="W90" s="15"/>
    </row>
    <row r="91">
      <c r="J91" s="15"/>
      <c r="V91" s="15"/>
      <c r="W91" s="15"/>
    </row>
    <row r="92">
      <c r="J92" s="15"/>
      <c r="V92" s="15"/>
      <c r="W92" s="15"/>
    </row>
    <row r="93">
      <c r="J93" s="15"/>
      <c r="V93" s="15"/>
      <c r="W93" s="15"/>
    </row>
    <row r="94">
      <c r="J94" s="15"/>
      <c r="V94" s="15"/>
      <c r="W94" s="15"/>
    </row>
    <row r="95">
      <c r="J95" s="15"/>
      <c r="V95" s="15"/>
      <c r="W95" s="15"/>
    </row>
    <row r="96">
      <c r="J96" s="15"/>
      <c r="V96" s="15"/>
      <c r="W96" s="15"/>
    </row>
    <row r="97">
      <c r="J97" s="15"/>
      <c r="V97" s="15"/>
      <c r="W97" s="15"/>
    </row>
    <row r="98">
      <c r="J98" s="15"/>
      <c r="V98" s="15"/>
      <c r="W98" s="15"/>
    </row>
    <row r="99">
      <c r="J99" s="15"/>
      <c r="V99" s="15"/>
      <c r="W99" s="15"/>
    </row>
    <row r="100">
      <c r="J100" s="15"/>
      <c r="V100" s="15"/>
      <c r="W100" s="15"/>
    </row>
    <row r="101">
      <c r="J101" s="15"/>
      <c r="V101" s="15"/>
      <c r="W101" s="15"/>
    </row>
    <row r="102">
      <c r="J102" s="15"/>
      <c r="V102" s="15"/>
      <c r="W102" s="15"/>
    </row>
    <row r="103">
      <c r="J103" s="15"/>
      <c r="V103" s="15"/>
      <c r="W103" s="15"/>
    </row>
    <row r="104">
      <c r="J104" s="15"/>
      <c r="V104" s="15"/>
      <c r="W104" s="15"/>
    </row>
    <row r="105">
      <c r="J105" s="15"/>
      <c r="V105" s="15"/>
      <c r="W105" s="15"/>
    </row>
    <row r="106">
      <c r="J106" s="15"/>
      <c r="V106" s="15"/>
      <c r="W106" s="15"/>
    </row>
    <row r="107">
      <c r="J107" s="15"/>
      <c r="V107" s="15"/>
      <c r="W107" s="15"/>
    </row>
    <row r="108">
      <c r="J108" s="15"/>
      <c r="V108" s="15"/>
      <c r="W108" s="15"/>
    </row>
    <row r="109">
      <c r="J109" s="15"/>
      <c r="V109" s="15"/>
      <c r="W109" s="15"/>
    </row>
    <row r="110">
      <c r="J110" s="15"/>
      <c r="V110" s="15"/>
      <c r="W110" s="15"/>
    </row>
    <row r="111">
      <c r="J111" s="15"/>
      <c r="V111" s="15"/>
      <c r="W111" s="15"/>
    </row>
    <row r="112">
      <c r="J112" s="15"/>
      <c r="V112" s="15"/>
      <c r="W112" s="15"/>
    </row>
    <row r="113">
      <c r="J113" s="15"/>
      <c r="V113" s="15"/>
      <c r="W113" s="15"/>
    </row>
    <row r="114">
      <c r="J114" s="15"/>
      <c r="V114" s="15"/>
      <c r="W114" s="15"/>
    </row>
    <row r="115">
      <c r="J115" s="15"/>
      <c r="V115" s="15"/>
      <c r="W115" s="15"/>
    </row>
    <row r="116">
      <c r="J116" s="15"/>
      <c r="V116" s="15"/>
      <c r="W116" s="15"/>
    </row>
    <row r="117">
      <c r="J117" s="15"/>
      <c r="V117" s="15"/>
      <c r="W117" s="15"/>
    </row>
    <row r="118">
      <c r="J118" s="15"/>
      <c r="V118" s="15"/>
      <c r="W118" s="15"/>
    </row>
    <row r="119">
      <c r="J119" s="15"/>
      <c r="V119" s="15"/>
      <c r="W119" s="15"/>
    </row>
    <row r="120">
      <c r="J120" s="15"/>
      <c r="V120" s="15"/>
      <c r="W120" s="15"/>
    </row>
    <row r="121">
      <c r="J121" s="15"/>
      <c r="V121" s="15"/>
      <c r="W121" s="15"/>
    </row>
    <row r="122">
      <c r="J122" s="15"/>
      <c r="V122" s="15"/>
      <c r="W122" s="15"/>
    </row>
    <row r="123">
      <c r="J123" s="15"/>
      <c r="V123" s="15"/>
      <c r="W123" s="15"/>
    </row>
    <row r="124">
      <c r="J124" s="15"/>
      <c r="V124" s="15"/>
      <c r="W124" s="15"/>
    </row>
    <row r="125">
      <c r="J125" s="15"/>
      <c r="V125" s="15"/>
      <c r="W125" s="15"/>
    </row>
    <row r="126">
      <c r="J126" s="15"/>
      <c r="V126" s="15"/>
      <c r="W126" s="15"/>
    </row>
    <row r="127">
      <c r="J127" s="15"/>
      <c r="V127" s="15"/>
      <c r="W127" s="15"/>
    </row>
    <row r="128">
      <c r="J128" s="15"/>
      <c r="V128" s="15"/>
      <c r="W128" s="15"/>
    </row>
    <row r="129">
      <c r="J129" s="15"/>
      <c r="V129" s="15"/>
      <c r="W129" s="15"/>
    </row>
    <row r="130">
      <c r="J130" s="15"/>
      <c r="V130" s="15"/>
      <c r="W130" s="15"/>
    </row>
    <row r="131">
      <c r="J131" s="15"/>
      <c r="V131" s="15"/>
      <c r="W131" s="15"/>
    </row>
    <row r="132">
      <c r="J132" s="15"/>
      <c r="V132" s="15"/>
      <c r="W132" s="15"/>
    </row>
    <row r="133">
      <c r="J133" s="15"/>
      <c r="V133" s="15"/>
      <c r="W133" s="15"/>
    </row>
    <row r="134">
      <c r="J134" s="15"/>
      <c r="V134" s="15"/>
      <c r="W134" s="15"/>
    </row>
    <row r="135">
      <c r="J135" s="15"/>
      <c r="V135" s="15"/>
      <c r="W135" s="15"/>
    </row>
    <row r="136">
      <c r="J136" s="15"/>
      <c r="V136" s="15"/>
      <c r="W136" s="15"/>
    </row>
    <row r="137">
      <c r="J137" s="15"/>
      <c r="V137" s="15"/>
      <c r="W137" s="15"/>
    </row>
    <row r="138">
      <c r="J138" s="15"/>
      <c r="V138" s="15"/>
      <c r="W138" s="15"/>
    </row>
    <row r="139">
      <c r="J139" s="15"/>
      <c r="V139" s="15"/>
      <c r="W139" s="15"/>
    </row>
    <row r="140">
      <c r="J140" s="15"/>
      <c r="V140" s="15"/>
      <c r="W140" s="15"/>
    </row>
    <row r="141">
      <c r="J141" s="15"/>
      <c r="V141" s="15"/>
      <c r="W141" s="15"/>
    </row>
    <row r="142">
      <c r="J142" s="15"/>
      <c r="V142" s="15"/>
      <c r="W142" s="15"/>
    </row>
    <row r="143">
      <c r="J143" s="15"/>
      <c r="V143" s="15"/>
      <c r="W143" s="15"/>
    </row>
    <row r="144">
      <c r="J144" s="15"/>
      <c r="V144" s="15"/>
      <c r="W144" s="15"/>
    </row>
    <row r="145">
      <c r="J145" s="15"/>
      <c r="V145" s="15"/>
      <c r="W145" s="15"/>
    </row>
    <row r="146">
      <c r="J146" s="15"/>
      <c r="V146" s="15"/>
      <c r="W146" s="15"/>
    </row>
    <row r="147">
      <c r="J147" s="15"/>
      <c r="V147" s="15"/>
      <c r="W147" s="15"/>
    </row>
    <row r="148">
      <c r="J148" s="15"/>
      <c r="V148" s="15"/>
      <c r="W148" s="15"/>
    </row>
    <row r="149">
      <c r="J149" s="15"/>
      <c r="V149" s="15"/>
      <c r="W149" s="15"/>
    </row>
    <row r="150">
      <c r="J150" s="15"/>
      <c r="V150" s="15"/>
      <c r="W150" s="15"/>
    </row>
    <row r="151">
      <c r="J151" s="15"/>
      <c r="V151" s="15"/>
      <c r="W151" s="15"/>
    </row>
    <row r="152">
      <c r="J152" s="15"/>
      <c r="V152" s="15"/>
      <c r="W152" s="15"/>
    </row>
    <row r="153">
      <c r="J153" s="15"/>
      <c r="V153" s="15"/>
      <c r="W153" s="15"/>
    </row>
    <row r="154">
      <c r="J154" s="15"/>
      <c r="V154" s="15"/>
      <c r="W154" s="15"/>
    </row>
    <row r="155">
      <c r="J155" s="15"/>
      <c r="V155" s="15"/>
      <c r="W155" s="15"/>
    </row>
    <row r="156">
      <c r="J156" s="15"/>
      <c r="V156" s="15"/>
      <c r="W156" s="15"/>
    </row>
    <row r="157">
      <c r="J157" s="15"/>
      <c r="V157" s="15"/>
      <c r="W157" s="15"/>
    </row>
    <row r="158">
      <c r="J158" s="15"/>
      <c r="V158" s="15"/>
      <c r="W158" s="15"/>
    </row>
    <row r="159">
      <c r="J159" s="15"/>
      <c r="V159" s="15"/>
      <c r="W159" s="15"/>
    </row>
    <row r="160">
      <c r="J160" s="15"/>
      <c r="V160" s="15"/>
      <c r="W160" s="15"/>
    </row>
    <row r="161">
      <c r="J161" s="15"/>
      <c r="V161" s="15"/>
      <c r="W161" s="15"/>
    </row>
    <row r="162">
      <c r="J162" s="15"/>
      <c r="V162" s="15"/>
      <c r="W162" s="15"/>
    </row>
    <row r="163">
      <c r="J163" s="15"/>
      <c r="V163" s="15"/>
      <c r="W163" s="15"/>
    </row>
    <row r="164">
      <c r="J164" s="15"/>
      <c r="V164" s="15"/>
      <c r="W164" s="15"/>
    </row>
    <row r="165">
      <c r="J165" s="15"/>
      <c r="V165" s="15"/>
      <c r="W165" s="15"/>
    </row>
    <row r="166">
      <c r="J166" s="15"/>
      <c r="V166" s="15"/>
      <c r="W166" s="15"/>
    </row>
    <row r="167">
      <c r="J167" s="15"/>
      <c r="V167" s="15"/>
      <c r="W167" s="15"/>
    </row>
    <row r="168">
      <c r="J168" s="15"/>
      <c r="V168" s="15"/>
      <c r="W168" s="15"/>
    </row>
    <row r="169">
      <c r="J169" s="15"/>
      <c r="V169" s="15"/>
      <c r="W169" s="15"/>
    </row>
    <row r="170">
      <c r="J170" s="15"/>
      <c r="V170" s="15"/>
      <c r="W170" s="15"/>
    </row>
    <row r="171">
      <c r="J171" s="15"/>
      <c r="V171" s="15"/>
      <c r="W171" s="15"/>
    </row>
    <row r="172">
      <c r="J172" s="15"/>
      <c r="V172" s="15"/>
      <c r="W172" s="15"/>
    </row>
    <row r="173">
      <c r="J173" s="15"/>
      <c r="V173" s="15"/>
      <c r="W173" s="15"/>
    </row>
    <row r="174">
      <c r="J174" s="15"/>
      <c r="V174" s="15"/>
      <c r="W174" s="15"/>
    </row>
    <row r="175">
      <c r="J175" s="15"/>
      <c r="V175" s="15"/>
      <c r="W175" s="15"/>
    </row>
    <row r="176">
      <c r="J176" s="15"/>
      <c r="V176" s="15"/>
      <c r="W176" s="15"/>
    </row>
    <row r="177">
      <c r="J177" s="15"/>
      <c r="V177" s="15"/>
      <c r="W177" s="15"/>
    </row>
    <row r="178">
      <c r="J178" s="15"/>
      <c r="V178" s="15"/>
      <c r="W178" s="15"/>
    </row>
    <row r="179">
      <c r="J179" s="15"/>
      <c r="V179" s="15"/>
      <c r="W179" s="15"/>
    </row>
    <row r="180">
      <c r="J180" s="15"/>
      <c r="V180" s="15"/>
      <c r="W180" s="15"/>
    </row>
    <row r="181">
      <c r="J181" s="15"/>
      <c r="V181" s="15"/>
      <c r="W181" s="15"/>
    </row>
    <row r="182">
      <c r="J182" s="15"/>
      <c r="V182" s="15"/>
      <c r="W182" s="15"/>
    </row>
    <row r="183">
      <c r="J183" s="15"/>
      <c r="V183" s="15"/>
      <c r="W183" s="15"/>
    </row>
    <row r="184">
      <c r="J184" s="15"/>
      <c r="V184" s="15"/>
      <c r="W184" s="15"/>
    </row>
    <row r="185">
      <c r="J185" s="15"/>
      <c r="V185" s="15"/>
      <c r="W185" s="15"/>
    </row>
    <row r="186">
      <c r="J186" s="15"/>
      <c r="V186" s="15"/>
      <c r="W186" s="15"/>
    </row>
    <row r="187">
      <c r="J187" s="15"/>
      <c r="V187" s="15"/>
      <c r="W187" s="15"/>
    </row>
    <row r="188">
      <c r="J188" s="15"/>
      <c r="V188" s="15"/>
      <c r="W188" s="15"/>
    </row>
    <row r="189">
      <c r="J189" s="15"/>
      <c r="V189" s="15"/>
      <c r="W189" s="15"/>
    </row>
    <row r="190">
      <c r="J190" s="15"/>
      <c r="V190" s="15"/>
      <c r="W190" s="15"/>
    </row>
    <row r="191">
      <c r="J191" s="15"/>
      <c r="V191" s="15"/>
      <c r="W191" s="15"/>
    </row>
    <row r="192">
      <c r="J192" s="15"/>
      <c r="V192" s="15"/>
      <c r="W192" s="15"/>
    </row>
    <row r="193">
      <c r="J193" s="15"/>
      <c r="V193" s="15"/>
      <c r="W193" s="15"/>
    </row>
    <row r="194">
      <c r="J194" s="15"/>
      <c r="V194" s="15"/>
      <c r="W194" s="15"/>
    </row>
    <row r="195">
      <c r="J195" s="15"/>
      <c r="V195" s="15"/>
      <c r="W195" s="15"/>
    </row>
    <row r="196">
      <c r="J196" s="15"/>
      <c r="V196" s="15"/>
      <c r="W196" s="15"/>
    </row>
    <row r="197">
      <c r="J197" s="15"/>
      <c r="V197" s="15"/>
      <c r="W197" s="15"/>
    </row>
    <row r="198">
      <c r="J198" s="15"/>
      <c r="V198" s="15"/>
      <c r="W198" s="15"/>
    </row>
    <row r="199">
      <c r="J199" s="15"/>
      <c r="V199" s="15"/>
      <c r="W199" s="15"/>
    </row>
    <row r="200">
      <c r="J200" s="15"/>
      <c r="V200" s="15"/>
      <c r="W200" s="15"/>
    </row>
    <row r="201">
      <c r="J201" s="15"/>
      <c r="V201" s="15"/>
      <c r="W201" s="15"/>
    </row>
    <row r="202">
      <c r="J202" s="15"/>
      <c r="V202" s="15"/>
      <c r="W202" s="15"/>
    </row>
    <row r="203">
      <c r="J203" s="15"/>
      <c r="V203" s="15"/>
      <c r="W203" s="15"/>
    </row>
    <row r="204">
      <c r="J204" s="15"/>
      <c r="V204" s="15"/>
      <c r="W204" s="15"/>
    </row>
    <row r="205">
      <c r="J205" s="15"/>
      <c r="V205" s="15"/>
      <c r="W205" s="15"/>
    </row>
    <row r="206">
      <c r="J206" s="15"/>
      <c r="V206" s="15"/>
      <c r="W206" s="15"/>
    </row>
    <row r="207">
      <c r="J207" s="15"/>
      <c r="V207" s="15"/>
      <c r="W207" s="15"/>
    </row>
    <row r="208">
      <c r="J208" s="15"/>
      <c r="V208" s="15"/>
      <c r="W208" s="15"/>
    </row>
    <row r="209">
      <c r="J209" s="15"/>
      <c r="V209" s="15"/>
      <c r="W209" s="15"/>
    </row>
    <row r="210">
      <c r="J210" s="15"/>
      <c r="V210" s="15"/>
      <c r="W210" s="15"/>
    </row>
    <row r="211">
      <c r="J211" s="15"/>
      <c r="V211" s="15"/>
      <c r="W211" s="15"/>
    </row>
    <row r="212">
      <c r="J212" s="15"/>
      <c r="V212" s="15"/>
      <c r="W212" s="15"/>
    </row>
    <row r="213">
      <c r="J213" s="15"/>
      <c r="V213" s="15"/>
      <c r="W213" s="15"/>
    </row>
    <row r="214">
      <c r="J214" s="15"/>
      <c r="V214" s="15"/>
      <c r="W214" s="15"/>
    </row>
    <row r="215">
      <c r="J215" s="15"/>
      <c r="V215" s="15"/>
      <c r="W215" s="15"/>
    </row>
    <row r="216">
      <c r="J216" s="15"/>
      <c r="V216" s="15"/>
      <c r="W216" s="15"/>
    </row>
    <row r="217">
      <c r="J217" s="15"/>
      <c r="V217" s="15"/>
      <c r="W217" s="15"/>
    </row>
    <row r="218">
      <c r="J218" s="15"/>
      <c r="V218" s="15"/>
      <c r="W218" s="15"/>
    </row>
    <row r="219">
      <c r="J219" s="15"/>
      <c r="V219" s="15"/>
      <c r="W219" s="15"/>
    </row>
    <row r="220">
      <c r="J220" s="15"/>
      <c r="V220" s="15"/>
      <c r="W220" s="15"/>
    </row>
    <row r="221">
      <c r="J221" s="15"/>
      <c r="V221" s="15"/>
      <c r="W221" s="15"/>
    </row>
    <row r="222">
      <c r="J222" s="15"/>
      <c r="V222" s="15"/>
      <c r="W222" s="15"/>
    </row>
    <row r="223">
      <c r="J223" s="15"/>
      <c r="V223" s="15"/>
      <c r="W223" s="15"/>
    </row>
    <row r="224">
      <c r="J224" s="15"/>
      <c r="V224" s="15"/>
      <c r="W224" s="15"/>
    </row>
    <row r="225">
      <c r="J225" s="15"/>
      <c r="V225" s="15"/>
      <c r="W225" s="15"/>
    </row>
    <row r="226">
      <c r="J226" s="15"/>
      <c r="V226" s="15"/>
      <c r="W226" s="15"/>
    </row>
    <row r="227">
      <c r="J227" s="15"/>
      <c r="V227" s="15"/>
      <c r="W227" s="15"/>
    </row>
    <row r="228">
      <c r="J228" s="15"/>
      <c r="V228" s="15"/>
      <c r="W228" s="15"/>
    </row>
    <row r="229">
      <c r="J229" s="15"/>
      <c r="V229" s="15"/>
      <c r="W229" s="15"/>
    </row>
    <row r="230">
      <c r="J230" s="15"/>
      <c r="V230" s="15"/>
      <c r="W230" s="15"/>
    </row>
    <row r="231">
      <c r="J231" s="15"/>
      <c r="V231" s="15"/>
      <c r="W231" s="15"/>
    </row>
    <row r="232">
      <c r="J232" s="15"/>
      <c r="V232" s="15"/>
      <c r="W232" s="15"/>
    </row>
    <row r="233">
      <c r="J233" s="15"/>
      <c r="V233" s="15"/>
      <c r="W233" s="15"/>
    </row>
    <row r="234">
      <c r="J234" s="15"/>
      <c r="V234" s="15"/>
      <c r="W234" s="15"/>
    </row>
    <row r="235">
      <c r="J235" s="15"/>
      <c r="V235" s="15"/>
      <c r="W235" s="15"/>
    </row>
    <row r="236">
      <c r="J236" s="15"/>
      <c r="V236" s="15"/>
      <c r="W236" s="15"/>
    </row>
    <row r="237">
      <c r="J237" s="15"/>
      <c r="V237" s="15"/>
      <c r="W237" s="15"/>
    </row>
    <row r="238">
      <c r="J238" s="15"/>
      <c r="V238" s="15"/>
      <c r="W238" s="15"/>
    </row>
    <row r="239">
      <c r="J239" s="15"/>
      <c r="V239" s="15"/>
      <c r="W239" s="15"/>
    </row>
    <row r="240">
      <c r="J240" s="15"/>
      <c r="V240" s="15"/>
      <c r="W240" s="15"/>
    </row>
    <row r="241">
      <c r="J241" s="15"/>
      <c r="V241" s="15"/>
      <c r="W241" s="15"/>
    </row>
    <row r="242">
      <c r="J242" s="15"/>
      <c r="V242" s="15"/>
      <c r="W242" s="15"/>
    </row>
    <row r="243">
      <c r="J243" s="15"/>
      <c r="V243" s="15"/>
      <c r="W243" s="15"/>
    </row>
    <row r="244">
      <c r="J244" s="15"/>
      <c r="V244" s="15"/>
      <c r="W244" s="15"/>
    </row>
    <row r="245">
      <c r="J245" s="15"/>
      <c r="V245" s="15"/>
      <c r="W245" s="15"/>
    </row>
    <row r="246">
      <c r="J246" s="15"/>
      <c r="V246" s="15"/>
      <c r="W246" s="15"/>
    </row>
    <row r="247">
      <c r="J247" s="15"/>
      <c r="V247" s="15"/>
      <c r="W247" s="15"/>
    </row>
    <row r="248">
      <c r="J248" s="15"/>
      <c r="V248" s="15"/>
      <c r="W248" s="15"/>
    </row>
    <row r="249">
      <c r="J249" s="15"/>
      <c r="V249" s="15"/>
      <c r="W249" s="15"/>
    </row>
    <row r="250">
      <c r="J250" s="15"/>
      <c r="V250" s="15"/>
      <c r="W250" s="15"/>
    </row>
    <row r="251">
      <c r="J251" s="15"/>
      <c r="V251" s="15"/>
      <c r="W251" s="15"/>
    </row>
    <row r="252">
      <c r="J252" s="15"/>
      <c r="V252" s="15"/>
      <c r="W252" s="15"/>
    </row>
    <row r="253">
      <c r="J253" s="15"/>
      <c r="V253" s="15"/>
      <c r="W253" s="15"/>
    </row>
    <row r="254">
      <c r="J254" s="15"/>
      <c r="V254" s="15"/>
      <c r="W254" s="15"/>
    </row>
    <row r="255">
      <c r="J255" s="15"/>
      <c r="V255" s="15"/>
      <c r="W255" s="15"/>
    </row>
    <row r="256">
      <c r="J256" s="15"/>
      <c r="V256" s="15"/>
      <c r="W256" s="15"/>
    </row>
    <row r="257">
      <c r="J257" s="15"/>
      <c r="V257" s="15"/>
      <c r="W257" s="15"/>
    </row>
    <row r="258">
      <c r="J258" s="15"/>
      <c r="V258" s="15"/>
      <c r="W258" s="15"/>
    </row>
    <row r="259">
      <c r="J259" s="15"/>
      <c r="V259" s="15"/>
      <c r="W259" s="15"/>
    </row>
    <row r="260">
      <c r="J260" s="15"/>
      <c r="V260" s="15"/>
      <c r="W260" s="15"/>
    </row>
    <row r="261">
      <c r="J261" s="15"/>
      <c r="V261" s="15"/>
      <c r="W261" s="15"/>
    </row>
    <row r="262">
      <c r="J262" s="15"/>
      <c r="V262" s="15"/>
      <c r="W262" s="15"/>
    </row>
    <row r="263">
      <c r="J263" s="15"/>
      <c r="V263" s="15"/>
      <c r="W263" s="15"/>
    </row>
    <row r="264">
      <c r="J264" s="15"/>
      <c r="V264" s="15"/>
      <c r="W264" s="15"/>
    </row>
    <row r="265">
      <c r="J265" s="15"/>
      <c r="V265" s="15"/>
      <c r="W265" s="15"/>
    </row>
    <row r="266">
      <c r="J266" s="15"/>
      <c r="V266" s="15"/>
      <c r="W266" s="15"/>
    </row>
    <row r="267">
      <c r="J267" s="15"/>
      <c r="V267" s="15"/>
      <c r="W267" s="15"/>
    </row>
    <row r="268">
      <c r="J268" s="15"/>
      <c r="V268" s="15"/>
      <c r="W268" s="15"/>
    </row>
    <row r="269">
      <c r="J269" s="15"/>
      <c r="V269" s="15"/>
      <c r="W269" s="15"/>
    </row>
    <row r="270">
      <c r="J270" s="15"/>
      <c r="V270" s="15"/>
      <c r="W270" s="15"/>
    </row>
    <row r="271">
      <c r="J271" s="15"/>
      <c r="V271" s="15"/>
      <c r="W271" s="15"/>
    </row>
    <row r="272">
      <c r="J272" s="15"/>
      <c r="V272" s="15"/>
      <c r="W272" s="15"/>
    </row>
    <row r="273">
      <c r="J273" s="15"/>
      <c r="V273" s="15"/>
      <c r="W273" s="15"/>
    </row>
    <row r="274">
      <c r="J274" s="15"/>
      <c r="V274" s="15"/>
      <c r="W274" s="15"/>
    </row>
    <row r="275">
      <c r="J275" s="15"/>
      <c r="V275" s="15"/>
      <c r="W275" s="15"/>
    </row>
    <row r="276">
      <c r="J276" s="15"/>
      <c r="V276" s="15"/>
      <c r="W276" s="15"/>
    </row>
    <row r="277">
      <c r="J277" s="15"/>
      <c r="V277" s="15"/>
      <c r="W277" s="15"/>
    </row>
    <row r="278">
      <c r="J278" s="15"/>
      <c r="V278" s="15"/>
      <c r="W278" s="15"/>
    </row>
    <row r="279">
      <c r="J279" s="15"/>
      <c r="V279" s="15"/>
      <c r="W279" s="15"/>
    </row>
    <row r="280">
      <c r="J280" s="15"/>
      <c r="V280" s="15"/>
      <c r="W280" s="15"/>
    </row>
    <row r="281">
      <c r="J281" s="15"/>
      <c r="V281" s="15"/>
      <c r="W281" s="15"/>
    </row>
    <row r="282">
      <c r="J282" s="15"/>
      <c r="V282" s="15"/>
      <c r="W282" s="15"/>
    </row>
    <row r="283">
      <c r="J283" s="15"/>
      <c r="V283" s="15"/>
      <c r="W283" s="15"/>
    </row>
    <row r="284">
      <c r="J284" s="15"/>
      <c r="V284" s="15"/>
      <c r="W284" s="15"/>
    </row>
    <row r="285">
      <c r="J285" s="15"/>
      <c r="V285" s="15"/>
      <c r="W285" s="15"/>
    </row>
    <row r="286">
      <c r="J286" s="15"/>
      <c r="V286" s="15"/>
      <c r="W286" s="15"/>
    </row>
    <row r="287">
      <c r="J287" s="15"/>
      <c r="V287" s="15"/>
      <c r="W287" s="15"/>
    </row>
    <row r="288">
      <c r="J288" s="15"/>
      <c r="V288" s="15"/>
      <c r="W288" s="15"/>
    </row>
    <row r="289">
      <c r="J289" s="15"/>
      <c r="V289" s="15"/>
      <c r="W289" s="15"/>
    </row>
    <row r="290">
      <c r="J290" s="15"/>
      <c r="V290" s="15"/>
      <c r="W290" s="15"/>
    </row>
    <row r="291">
      <c r="J291" s="15"/>
      <c r="V291" s="15"/>
      <c r="W291" s="15"/>
    </row>
    <row r="292">
      <c r="J292" s="15"/>
      <c r="V292" s="15"/>
      <c r="W292" s="15"/>
    </row>
    <row r="293">
      <c r="J293" s="15"/>
      <c r="V293" s="15"/>
      <c r="W293" s="15"/>
    </row>
    <row r="294">
      <c r="J294" s="15"/>
      <c r="V294" s="15"/>
      <c r="W294" s="15"/>
    </row>
    <row r="295">
      <c r="J295" s="15"/>
      <c r="V295" s="15"/>
      <c r="W295" s="15"/>
    </row>
    <row r="296">
      <c r="J296" s="15"/>
      <c r="V296" s="15"/>
      <c r="W296" s="15"/>
    </row>
    <row r="297">
      <c r="J297" s="15"/>
      <c r="V297" s="15"/>
      <c r="W297" s="15"/>
    </row>
    <row r="298">
      <c r="J298" s="15"/>
      <c r="V298" s="15"/>
      <c r="W298" s="15"/>
    </row>
    <row r="299">
      <c r="J299" s="15"/>
      <c r="V299" s="15"/>
      <c r="W299" s="15"/>
    </row>
    <row r="300">
      <c r="J300" s="15"/>
      <c r="V300" s="15"/>
      <c r="W300" s="15"/>
    </row>
    <row r="301">
      <c r="J301" s="15"/>
      <c r="V301" s="15"/>
      <c r="W301" s="15"/>
    </row>
    <row r="302">
      <c r="J302" s="15"/>
      <c r="V302" s="15"/>
      <c r="W302" s="15"/>
    </row>
    <row r="303">
      <c r="J303" s="15"/>
      <c r="V303" s="15"/>
      <c r="W303" s="15"/>
    </row>
    <row r="304">
      <c r="J304" s="15"/>
      <c r="V304" s="15"/>
      <c r="W304" s="15"/>
    </row>
    <row r="305">
      <c r="J305" s="15"/>
      <c r="V305" s="15"/>
      <c r="W305" s="15"/>
    </row>
    <row r="306">
      <c r="J306" s="15"/>
      <c r="V306" s="15"/>
      <c r="W306" s="15"/>
    </row>
    <row r="307">
      <c r="J307" s="15"/>
      <c r="V307" s="15"/>
      <c r="W307" s="15"/>
    </row>
    <row r="308">
      <c r="J308" s="15"/>
      <c r="V308" s="15"/>
      <c r="W308" s="15"/>
    </row>
    <row r="309">
      <c r="J309" s="15"/>
      <c r="V309" s="15"/>
      <c r="W309" s="15"/>
    </row>
    <row r="310">
      <c r="J310" s="15"/>
      <c r="V310" s="15"/>
      <c r="W310" s="15"/>
    </row>
    <row r="311">
      <c r="J311" s="15"/>
      <c r="V311" s="15"/>
      <c r="W311" s="15"/>
    </row>
    <row r="312">
      <c r="J312" s="15"/>
      <c r="V312" s="15"/>
      <c r="W312" s="15"/>
    </row>
    <row r="313">
      <c r="J313" s="15"/>
      <c r="V313" s="15"/>
      <c r="W313" s="15"/>
    </row>
    <row r="314">
      <c r="J314" s="15"/>
      <c r="V314" s="15"/>
      <c r="W314" s="15"/>
    </row>
    <row r="315">
      <c r="J315" s="15"/>
      <c r="V315" s="15"/>
      <c r="W315" s="15"/>
    </row>
    <row r="316">
      <c r="J316" s="15"/>
      <c r="V316" s="15"/>
      <c r="W316" s="15"/>
    </row>
    <row r="317">
      <c r="J317" s="15"/>
      <c r="V317" s="15"/>
      <c r="W317" s="15"/>
    </row>
    <row r="318">
      <c r="J318" s="15"/>
      <c r="V318" s="15"/>
      <c r="W318" s="15"/>
    </row>
    <row r="319">
      <c r="J319" s="15"/>
      <c r="V319" s="15"/>
      <c r="W319" s="15"/>
    </row>
    <row r="320">
      <c r="J320" s="15"/>
      <c r="V320" s="15"/>
      <c r="W320" s="15"/>
    </row>
    <row r="321">
      <c r="J321" s="15"/>
      <c r="V321" s="15"/>
      <c r="W321" s="15"/>
    </row>
    <row r="322">
      <c r="J322" s="15"/>
      <c r="V322" s="15"/>
      <c r="W322" s="15"/>
    </row>
    <row r="323">
      <c r="J323" s="15"/>
      <c r="V323" s="15"/>
      <c r="W323" s="15"/>
    </row>
    <row r="324">
      <c r="J324" s="15"/>
      <c r="V324" s="15"/>
      <c r="W324" s="15"/>
    </row>
    <row r="325">
      <c r="J325" s="15"/>
      <c r="V325" s="15"/>
      <c r="W325" s="15"/>
    </row>
    <row r="326">
      <c r="J326" s="15"/>
      <c r="V326" s="15"/>
      <c r="W326" s="15"/>
    </row>
    <row r="327">
      <c r="J327" s="15"/>
      <c r="V327" s="15"/>
      <c r="W327" s="15"/>
    </row>
    <row r="328">
      <c r="J328" s="15"/>
      <c r="V328" s="15"/>
      <c r="W328" s="15"/>
    </row>
    <row r="329">
      <c r="J329" s="15"/>
      <c r="V329" s="15"/>
      <c r="W329" s="15"/>
    </row>
    <row r="330">
      <c r="J330" s="15"/>
      <c r="V330" s="15"/>
      <c r="W330" s="15"/>
    </row>
    <row r="331">
      <c r="J331" s="15"/>
      <c r="V331" s="15"/>
      <c r="W331" s="15"/>
    </row>
    <row r="332">
      <c r="J332" s="15"/>
      <c r="V332" s="15"/>
      <c r="W332" s="15"/>
    </row>
    <row r="333">
      <c r="J333" s="15"/>
      <c r="V333" s="15"/>
      <c r="W333" s="15"/>
    </row>
    <row r="334">
      <c r="J334" s="15"/>
      <c r="V334" s="15"/>
      <c r="W334" s="15"/>
    </row>
    <row r="335">
      <c r="J335" s="15"/>
      <c r="V335" s="15"/>
      <c r="W335" s="15"/>
    </row>
    <row r="336">
      <c r="J336" s="15"/>
      <c r="V336" s="15"/>
      <c r="W336" s="15"/>
    </row>
    <row r="337">
      <c r="J337" s="15"/>
      <c r="V337" s="15"/>
      <c r="W337" s="15"/>
    </row>
    <row r="338">
      <c r="J338" s="15"/>
      <c r="V338" s="15"/>
      <c r="W338" s="15"/>
    </row>
    <row r="339">
      <c r="J339" s="15"/>
      <c r="V339" s="15"/>
      <c r="W339" s="15"/>
    </row>
    <row r="340">
      <c r="J340" s="15"/>
      <c r="V340" s="15"/>
      <c r="W340" s="15"/>
    </row>
    <row r="341">
      <c r="J341" s="15"/>
      <c r="V341" s="15"/>
      <c r="W341" s="15"/>
    </row>
    <row r="342">
      <c r="J342" s="15"/>
      <c r="V342" s="15"/>
      <c r="W342" s="15"/>
    </row>
    <row r="343">
      <c r="J343" s="15"/>
      <c r="V343" s="15"/>
      <c r="W343" s="15"/>
    </row>
    <row r="344">
      <c r="J344" s="15"/>
      <c r="V344" s="15"/>
      <c r="W344" s="15"/>
    </row>
    <row r="345">
      <c r="J345" s="15"/>
      <c r="V345" s="15"/>
      <c r="W345" s="15"/>
    </row>
    <row r="346">
      <c r="J346" s="15"/>
      <c r="V346" s="15"/>
      <c r="W346" s="15"/>
    </row>
    <row r="347">
      <c r="J347" s="15"/>
      <c r="V347" s="15"/>
      <c r="W347" s="15"/>
    </row>
    <row r="348">
      <c r="J348" s="15"/>
      <c r="V348" s="15"/>
      <c r="W348" s="15"/>
    </row>
    <row r="349">
      <c r="J349" s="15"/>
      <c r="V349" s="15"/>
      <c r="W349" s="15"/>
    </row>
    <row r="350">
      <c r="J350" s="15"/>
      <c r="V350" s="15"/>
      <c r="W350" s="15"/>
    </row>
    <row r="351">
      <c r="J351" s="15"/>
      <c r="V351" s="15"/>
      <c r="W351" s="15"/>
    </row>
    <row r="352">
      <c r="J352" s="15"/>
      <c r="V352" s="15"/>
      <c r="W352" s="15"/>
    </row>
    <row r="353">
      <c r="J353" s="15"/>
      <c r="V353" s="15"/>
      <c r="W353" s="15"/>
    </row>
    <row r="354">
      <c r="J354" s="15"/>
      <c r="V354" s="15"/>
      <c r="W354" s="15"/>
    </row>
    <row r="355">
      <c r="J355" s="15"/>
      <c r="V355" s="15"/>
      <c r="W355" s="15"/>
    </row>
    <row r="356">
      <c r="J356" s="15"/>
      <c r="V356" s="15"/>
      <c r="W356" s="15"/>
    </row>
    <row r="357">
      <c r="J357" s="15"/>
      <c r="V357" s="15"/>
      <c r="W357" s="15"/>
    </row>
    <row r="358">
      <c r="J358" s="15"/>
      <c r="V358" s="15"/>
      <c r="W358" s="15"/>
    </row>
    <row r="359">
      <c r="J359" s="15"/>
      <c r="V359" s="15"/>
      <c r="W359" s="15"/>
    </row>
    <row r="360">
      <c r="J360" s="15"/>
      <c r="V360" s="15"/>
      <c r="W360" s="15"/>
    </row>
    <row r="361">
      <c r="J361" s="15"/>
      <c r="V361" s="15"/>
      <c r="W361" s="15"/>
    </row>
    <row r="362">
      <c r="J362" s="15"/>
      <c r="V362" s="15"/>
      <c r="W362" s="15"/>
    </row>
    <row r="363">
      <c r="J363" s="15"/>
      <c r="V363" s="15"/>
      <c r="W363" s="15"/>
    </row>
    <row r="364">
      <c r="J364" s="15"/>
      <c r="V364" s="15"/>
      <c r="W364" s="15"/>
    </row>
    <row r="365">
      <c r="J365" s="15"/>
      <c r="V365" s="15"/>
      <c r="W365" s="15"/>
    </row>
    <row r="366">
      <c r="J366" s="15"/>
      <c r="V366" s="15"/>
      <c r="W366" s="15"/>
    </row>
    <row r="367">
      <c r="J367" s="15"/>
      <c r="V367" s="15"/>
      <c r="W367" s="15"/>
    </row>
    <row r="368">
      <c r="J368" s="15"/>
      <c r="V368" s="15"/>
      <c r="W368" s="15"/>
    </row>
    <row r="369">
      <c r="J369" s="15"/>
      <c r="V369" s="15"/>
      <c r="W369" s="15"/>
    </row>
    <row r="370">
      <c r="J370" s="15"/>
      <c r="V370" s="15"/>
      <c r="W370" s="15"/>
    </row>
    <row r="371">
      <c r="J371" s="15"/>
      <c r="V371" s="15"/>
      <c r="W371" s="15"/>
    </row>
    <row r="372">
      <c r="J372" s="15"/>
      <c r="V372" s="15"/>
      <c r="W372" s="15"/>
    </row>
    <row r="373">
      <c r="J373" s="15"/>
      <c r="V373" s="15"/>
      <c r="W373" s="15"/>
    </row>
    <row r="374">
      <c r="J374" s="15"/>
      <c r="V374" s="15"/>
      <c r="W374" s="15"/>
    </row>
    <row r="375">
      <c r="J375" s="15"/>
      <c r="V375" s="15"/>
      <c r="W375" s="15"/>
    </row>
    <row r="376">
      <c r="J376" s="15"/>
      <c r="V376" s="15"/>
      <c r="W376" s="15"/>
    </row>
    <row r="377">
      <c r="J377" s="15"/>
      <c r="V377" s="15"/>
      <c r="W377" s="15"/>
    </row>
    <row r="378">
      <c r="J378" s="15"/>
      <c r="V378" s="15"/>
      <c r="W378" s="15"/>
    </row>
    <row r="379">
      <c r="J379" s="15"/>
      <c r="V379" s="15"/>
      <c r="W379" s="15"/>
    </row>
    <row r="380">
      <c r="J380" s="15"/>
      <c r="V380" s="15"/>
      <c r="W380" s="15"/>
    </row>
    <row r="381">
      <c r="J381" s="15"/>
      <c r="V381" s="15"/>
      <c r="W381" s="15"/>
    </row>
    <row r="382">
      <c r="J382" s="15"/>
      <c r="V382" s="15"/>
      <c r="W382" s="15"/>
    </row>
    <row r="383">
      <c r="J383" s="15"/>
      <c r="V383" s="15"/>
      <c r="W383" s="15"/>
    </row>
    <row r="384">
      <c r="J384" s="15"/>
      <c r="V384" s="15"/>
      <c r="W384" s="15"/>
    </row>
    <row r="385">
      <c r="J385" s="15"/>
      <c r="V385" s="15"/>
      <c r="W385" s="15"/>
    </row>
    <row r="386">
      <c r="J386" s="15"/>
      <c r="V386" s="15"/>
      <c r="W386" s="15"/>
    </row>
    <row r="387">
      <c r="J387" s="15"/>
      <c r="V387" s="15"/>
      <c r="W387" s="15"/>
    </row>
    <row r="388">
      <c r="J388" s="15"/>
      <c r="V388" s="15"/>
      <c r="W388" s="15"/>
    </row>
    <row r="389">
      <c r="J389" s="15"/>
      <c r="V389" s="15"/>
      <c r="W389" s="15"/>
    </row>
    <row r="390">
      <c r="J390" s="15"/>
      <c r="V390" s="15"/>
      <c r="W390" s="15"/>
    </row>
    <row r="391">
      <c r="J391" s="15"/>
      <c r="V391" s="15"/>
      <c r="W391" s="15"/>
    </row>
    <row r="392">
      <c r="J392" s="15"/>
      <c r="V392" s="15"/>
      <c r="W392" s="15"/>
    </row>
    <row r="393">
      <c r="J393" s="15"/>
      <c r="V393" s="15"/>
      <c r="W393" s="15"/>
    </row>
    <row r="394">
      <c r="J394" s="15"/>
      <c r="V394" s="15"/>
      <c r="W394" s="15"/>
    </row>
    <row r="395">
      <c r="J395" s="15"/>
      <c r="V395" s="15"/>
      <c r="W395" s="15"/>
    </row>
    <row r="396">
      <c r="J396" s="15"/>
      <c r="V396" s="15"/>
      <c r="W396" s="15"/>
    </row>
    <row r="397">
      <c r="J397" s="15"/>
      <c r="V397" s="15"/>
      <c r="W397" s="15"/>
    </row>
    <row r="398">
      <c r="J398" s="15"/>
      <c r="V398" s="15"/>
      <c r="W398" s="15"/>
    </row>
    <row r="399">
      <c r="J399" s="15"/>
      <c r="V399" s="15"/>
      <c r="W399" s="15"/>
    </row>
    <row r="400">
      <c r="J400" s="15"/>
      <c r="V400" s="15"/>
      <c r="W400" s="15"/>
    </row>
    <row r="401">
      <c r="J401" s="15"/>
      <c r="V401" s="15"/>
      <c r="W401" s="15"/>
    </row>
    <row r="402">
      <c r="J402" s="15"/>
      <c r="V402" s="15"/>
      <c r="W402" s="15"/>
    </row>
    <row r="403">
      <c r="J403" s="15"/>
      <c r="V403" s="15"/>
      <c r="W403" s="15"/>
    </row>
    <row r="404">
      <c r="J404" s="15"/>
      <c r="V404" s="15"/>
      <c r="W404" s="15"/>
    </row>
    <row r="405">
      <c r="J405" s="15"/>
      <c r="V405" s="15"/>
      <c r="W405" s="15"/>
    </row>
    <row r="406">
      <c r="J406" s="15"/>
      <c r="V406" s="15"/>
      <c r="W406" s="15"/>
    </row>
    <row r="407">
      <c r="J407" s="15"/>
      <c r="V407" s="15"/>
      <c r="W407" s="15"/>
    </row>
    <row r="408">
      <c r="J408" s="15"/>
      <c r="V408" s="15"/>
      <c r="W408" s="15"/>
    </row>
    <row r="409">
      <c r="J409" s="15"/>
      <c r="V409" s="15"/>
      <c r="W409" s="15"/>
    </row>
    <row r="410">
      <c r="J410" s="15"/>
      <c r="V410" s="15"/>
      <c r="W410" s="15"/>
    </row>
    <row r="411">
      <c r="J411" s="15"/>
      <c r="V411" s="15"/>
      <c r="W411" s="15"/>
    </row>
    <row r="412">
      <c r="J412" s="15"/>
      <c r="V412" s="15"/>
      <c r="W412" s="15"/>
    </row>
    <row r="413">
      <c r="J413" s="15"/>
      <c r="V413" s="15"/>
      <c r="W413" s="15"/>
    </row>
    <row r="414">
      <c r="J414" s="15"/>
      <c r="V414" s="15"/>
      <c r="W414" s="15"/>
    </row>
    <row r="415">
      <c r="J415" s="15"/>
      <c r="V415" s="15"/>
      <c r="W415" s="15"/>
    </row>
    <row r="416">
      <c r="J416" s="15"/>
      <c r="V416" s="15"/>
      <c r="W416" s="15"/>
    </row>
    <row r="417">
      <c r="J417" s="15"/>
      <c r="V417" s="15"/>
      <c r="W417" s="15"/>
    </row>
    <row r="418">
      <c r="J418" s="15"/>
      <c r="V418" s="15"/>
      <c r="W418" s="15"/>
    </row>
    <row r="419">
      <c r="J419" s="15"/>
      <c r="V419" s="15"/>
      <c r="W419" s="15"/>
    </row>
    <row r="420">
      <c r="J420" s="15"/>
      <c r="V420" s="15"/>
      <c r="W420" s="15"/>
    </row>
    <row r="421">
      <c r="J421" s="15"/>
      <c r="V421" s="15"/>
      <c r="W421" s="15"/>
    </row>
    <row r="422">
      <c r="J422" s="15"/>
      <c r="V422" s="15"/>
      <c r="W422" s="15"/>
    </row>
    <row r="423">
      <c r="J423" s="15"/>
      <c r="V423" s="15"/>
      <c r="W423" s="15"/>
    </row>
    <row r="424">
      <c r="J424" s="15"/>
      <c r="V424" s="15"/>
      <c r="W424" s="15"/>
    </row>
    <row r="425">
      <c r="J425" s="15"/>
      <c r="V425" s="15"/>
      <c r="W425" s="15"/>
    </row>
    <row r="426">
      <c r="J426" s="15"/>
      <c r="V426" s="15"/>
      <c r="W426" s="15"/>
    </row>
    <row r="427">
      <c r="J427" s="15"/>
      <c r="V427" s="15"/>
      <c r="W427" s="15"/>
    </row>
    <row r="428">
      <c r="J428" s="15"/>
      <c r="V428" s="15"/>
      <c r="W428" s="15"/>
    </row>
    <row r="429">
      <c r="J429" s="15"/>
      <c r="V429" s="15"/>
      <c r="W429" s="15"/>
    </row>
    <row r="430">
      <c r="J430" s="15"/>
      <c r="V430" s="15"/>
      <c r="W430" s="15"/>
    </row>
    <row r="431">
      <c r="J431" s="15"/>
      <c r="V431" s="15"/>
      <c r="W431" s="15"/>
    </row>
    <row r="432">
      <c r="J432" s="15"/>
      <c r="V432" s="15"/>
      <c r="W432" s="15"/>
    </row>
    <row r="433">
      <c r="J433" s="15"/>
      <c r="V433" s="15"/>
      <c r="W433" s="15"/>
    </row>
    <row r="434">
      <c r="J434" s="15"/>
      <c r="V434" s="15"/>
      <c r="W434" s="15"/>
    </row>
    <row r="435">
      <c r="J435" s="15"/>
      <c r="V435" s="15"/>
      <c r="W435" s="15"/>
    </row>
    <row r="436">
      <c r="J436" s="15"/>
      <c r="V436" s="15"/>
      <c r="W436" s="15"/>
    </row>
    <row r="437">
      <c r="J437" s="15"/>
      <c r="V437" s="15"/>
      <c r="W437" s="15"/>
    </row>
    <row r="438">
      <c r="J438" s="15"/>
      <c r="V438" s="15"/>
      <c r="W438" s="15"/>
    </row>
    <row r="439">
      <c r="J439" s="15"/>
      <c r="V439" s="15"/>
      <c r="W439" s="15"/>
    </row>
    <row r="440">
      <c r="J440" s="15"/>
      <c r="V440" s="15"/>
      <c r="W440" s="15"/>
    </row>
    <row r="441">
      <c r="J441" s="15"/>
      <c r="V441" s="15"/>
      <c r="W441" s="15"/>
    </row>
    <row r="442">
      <c r="J442" s="15"/>
      <c r="V442" s="15"/>
      <c r="W442" s="15"/>
    </row>
    <row r="443">
      <c r="J443" s="15"/>
      <c r="V443" s="15"/>
      <c r="W443" s="15"/>
    </row>
    <row r="444">
      <c r="J444" s="15"/>
      <c r="V444" s="15"/>
      <c r="W444" s="15"/>
    </row>
    <row r="445">
      <c r="J445" s="15"/>
      <c r="V445" s="15"/>
      <c r="W445" s="15"/>
    </row>
    <row r="446">
      <c r="J446" s="15"/>
      <c r="V446" s="15"/>
      <c r="W446" s="15"/>
    </row>
    <row r="447">
      <c r="J447" s="15"/>
      <c r="V447" s="15"/>
      <c r="W447" s="15"/>
    </row>
    <row r="448">
      <c r="J448" s="15"/>
      <c r="V448" s="15"/>
      <c r="W448" s="15"/>
    </row>
    <row r="449">
      <c r="J449" s="15"/>
      <c r="V449" s="15"/>
      <c r="W449" s="15"/>
    </row>
    <row r="450">
      <c r="J450" s="15"/>
      <c r="V450" s="15"/>
      <c r="W450" s="15"/>
    </row>
    <row r="451">
      <c r="J451" s="15"/>
      <c r="V451" s="15"/>
      <c r="W451" s="15"/>
    </row>
    <row r="452">
      <c r="J452" s="15"/>
      <c r="V452" s="15"/>
      <c r="W452" s="15"/>
    </row>
    <row r="453">
      <c r="J453" s="15"/>
      <c r="V453" s="15"/>
      <c r="W453" s="15"/>
    </row>
    <row r="454">
      <c r="J454" s="15"/>
      <c r="V454" s="15"/>
      <c r="W454" s="15"/>
    </row>
    <row r="455">
      <c r="J455" s="15"/>
      <c r="V455" s="15"/>
      <c r="W455" s="15"/>
    </row>
    <row r="456">
      <c r="J456" s="15"/>
      <c r="V456" s="15"/>
      <c r="W456" s="15"/>
    </row>
    <row r="457">
      <c r="J457" s="15"/>
      <c r="V457" s="15"/>
      <c r="W457" s="15"/>
    </row>
    <row r="458">
      <c r="J458" s="15"/>
      <c r="V458" s="15"/>
      <c r="W458" s="15"/>
    </row>
    <row r="459">
      <c r="J459" s="15"/>
      <c r="V459" s="15"/>
      <c r="W459" s="15"/>
    </row>
    <row r="460">
      <c r="J460" s="15"/>
      <c r="V460" s="15"/>
      <c r="W460" s="15"/>
    </row>
    <row r="461">
      <c r="J461" s="15"/>
      <c r="V461" s="15"/>
      <c r="W461" s="15"/>
    </row>
    <row r="462">
      <c r="J462" s="15"/>
      <c r="V462" s="15"/>
      <c r="W462" s="15"/>
    </row>
    <row r="463">
      <c r="J463" s="15"/>
      <c r="V463" s="15"/>
      <c r="W463" s="15"/>
    </row>
    <row r="464">
      <c r="J464" s="15"/>
      <c r="V464" s="15"/>
      <c r="W464" s="15"/>
    </row>
    <row r="465">
      <c r="J465" s="15"/>
      <c r="V465" s="15"/>
      <c r="W465" s="15"/>
    </row>
    <row r="466">
      <c r="J466" s="15"/>
      <c r="V466" s="15"/>
      <c r="W466" s="15"/>
    </row>
    <row r="467">
      <c r="J467" s="15"/>
      <c r="V467" s="15"/>
      <c r="W467" s="15"/>
    </row>
    <row r="468">
      <c r="J468" s="15"/>
      <c r="V468" s="15"/>
      <c r="W468" s="15"/>
    </row>
    <row r="469">
      <c r="J469" s="15"/>
      <c r="V469" s="15"/>
      <c r="W469" s="15"/>
    </row>
    <row r="470">
      <c r="J470" s="15"/>
      <c r="V470" s="15"/>
      <c r="W470" s="15"/>
    </row>
    <row r="471">
      <c r="J471" s="15"/>
      <c r="V471" s="15"/>
      <c r="W471" s="15"/>
    </row>
    <row r="472">
      <c r="J472" s="15"/>
      <c r="V472" s="15"/>
      <c r="W472" s="15"/>
    </row>
    <row r="473">
      <c r="J473" s="15"/>
      <c r="V473" s="15"/>
      <c r="W473" s="15"/>
    </row>
    <row r="474">
      <c r="J474" s="15"/>
      <c r="V474" s="15"/>
      <c r="W474" s="15"/>
    </row>
    <row r="475">
      <c r="J475" s="15"/>
      <c r="V475" s="15"/>
      <c r="W475" s="15"/>
    </row>
    <row r="476">
      <c r="J476" s="15"/>
      <c r="V476" s="15"/>
      <c r="W476" s="15"/>
    </row>
    <row r="477">
      <c r="J477" s="15"/>
      <c r="V477" s="15"/>
      <c r="W477" s="15"/>
    </row>
    <row r="478">
      <c r="J478" s="15"/>
      <c r="V478" s="15"/>
      <c r="W478" s="15"/>
    </row>
    <row r="479">
      <c r="J479" s="15"/>
      <c r="V479" s="15"/>
      <c r="W479" s="15"/>
    </row>
    <row r="480">
      <c r="J480" s="15"/>
      <c r="V480" s="15"/>
      <c r="W480" s="15"/>
    </row>
    <row r="481">
      <c r="J481" s="15"/>
      <c r="V481" s="15"/>
      <c r="W481" s="15"/>
    </row>
    <row r="482">
      <c r="J482" s="15"/>
      <c r="V482" s="15"/>
      <c r="W482" s="15"/>
    </row>
    <row r="483">
      <c r="J483" s="15"/>
      <c r="V483" s="15"/>
      <c r="W483" s="15"/>
    </row>
    <row r="484">
      <c r="J484" s="15"/>
      <c r="V484" s="15"/>
      <c r="W484" s="15"/>
    </row>
    <row r="485">
      <c r="J485" s="15"/>
      <c r="V485" s="15"/>
      <c r="W485" s="15"/>
    </row>
    <row r="486">
      <c r="J486" s="15"/>
      <c r="V486" s="15"/>
      <c r="W486" s="15"/>
    </row>
    <row r="487">
      <c r="J487" s="15"/>
      <c r="V487" s="15"/>
      <c r="W487" s="15"/>
    </row>
    <row r="488">
      <c r="J488" s="15"/>
      <c r="V488" s="15"/>
      <c r="W488" s="15"/>
    </row>
    <row r="489">
      <c r="J489" s="15"/>
      <c r="V489" s="15"/>
      <c r="W489" s="15"/>
    </row>
    <row r="490">
      <c r="J490" s="15"/>
      <c r="V490" s="15"/>
      <c r="W490" s="15"/>
    </row>
    <row r="491">
      <c r="J491" s="15"/>
      <c r="V491" s="15"/>
      <c r="W491" s="15"/>
    </row>
    <row r="492">
      <c r="J492" s="15"/>
      <c r="V492" s="15"/>
      <c r="W492" s="15"/>
    </row>
    <row r="493">
      <c r="J493" s="15"/>
      <c r="V493" s="15"/>
      <c r="W493" s="15"/>
    </row>
    <row r="494">
      <c r="J494" s="15"/>
      <c r="V494" s="15"/>
      <c r="W494" s="15"/>
    </row>
    <row r="495">
      <c r="J495" s="15"/>
      <c r="V495" s="15"/>
      <c r="W495" s="15"/>
    </row>
    <row r="496">
      <c r="J496" s="15"/>
      <c r="V496" s="15"/>
      <c r="W496" s="15"/>
    </row>
    <row r="497">
      <c r="J497" s="15"/>
      <c r="V497" s="15"/>
      <c r="W497" s="15"/>
    </row>
    <row r="498">
      <c r="J498" s="15"/>
      <c r="V498" s="15"/>
      <c r="W498" s="15"/>
    </row>
    <row r="499">
      <c r="J499" s="15"/>
      <c r="V499" s="15"/>
      <c r="W499" s="15"/>
    </row>
    <row r="500">
      <c r="J500" s="15"/>
      <c r="V500" s="15"/>
      <c r="W500" s="15"/>
    </row>
    <row r="501">
      <c r="J501" s="15"/>
      <c r="V501" s="15"/>
      <c r="W501" s="15"/>
    </row>
    <row r="502">
      <c r="J502" s="15"/>
      <c r="V502" s="15"/>
      <c r="W502" s="15"/>
    </row>
    <row r="503">
      <c r="J503" s="15"/>
      <c r="V503" s="15"/>
      <c r="W503" s="15"/>
    </row>
    <row r="504">
      <c r="J504" s="15"/>
      <c r="V504" s="15"/>
      <c r="W504" s="15"/>
    </row>
    <row r="505">
      <c r="J505" s="15"/>
      <c r="V505" s="15"/>
      <c r="W505" s="15"/>
    </row>
    <row r="506">
      <c r="J506" s="15"/>
      <c r="V506" s="15"/>
      <c r="W506" s="15"/>
    </row>
    <row r="507">
      <c r="J507" s="15"/>
      <c r="V507" s="15"/>
      <c r="W507" s="15"/>
    </row>
    <row r="508">
      <c r="J508" s="15"/>
      <c r="V508" s="15"/>
      <c r="W508" s="15"/>
    </row>
    <row r="509">
      <c r="J509" s="15"/>
      <c r="V509" s="15"/>
      <c r="W509" s="15"/>
    </row>
    <row r="510">
      <c r="J510" s="15"/>
      <c r="V510" s="15"/>
      <c r="W510" s="15"/>
    </row>
    <row r="511">
      <c r="J511" s="15"/>
      <c r="V511" s="15"/>
      <c r="W511" s="15"/>
    </row>
    <row r="512">
      <c r="J512" s="15"/>
      <c r="V512" s="15"/>
      <c r="W512" s="15"/>
    </row>
    <row r="513">
      <c r="J513" s="15"/>
      <c r="V513" s="15"/>
      <c r="W513" s="15"/>
    </row>
    <row r="514">
      <c r="J514" s="15"/>
      <c r="V514" s="15"/>
      <c r="W514" s="15"/>
    </row>
    <row r="515">
      <c r="J515" s="15"/>
      <c r="V515" s="15"/>
      <c r="W515" s="15"/>
    </row>
    <row r="516">
      <c r="J516" s="15"/>
      <c r="V516" s="15"/>
      <c r="W516" s="15"/>
    </row>
    <row r="517">
      <c r="J517" s="15"/>
      <c r="V517" s="15"/>
      <c r="W517" s="15"/>
    </row>
    <row r="518">
      <c r="J518" s="15"/>
      <c r="V518" s="15"/>
      <c r="W518" s="15"/>
    </row>
    <row r="519">
      <c r="J519" s="15"/>
      <c r="V519" s="15"/>
      <c r="W519" s="15"/>
    </row>
    <row r="520">
      <c r="J520" s="15"/>
      <c r="V520" s="15"/>
      <c r="W520" s="15"/>
    </row>
    <row r="521">
      <c r="J521" s="15"/>
      <c r="V521" s="15"/>
      <c r="W521" s="15"/>
    </row>
    <row r="522">
      <c r="J522" s="15"/>
      <c r="V522" s="15"/>
      <c r="W522" s="15"/>
    </row>
    <row r="523">
      <c r="J523" s="15"/>
      <c r="V523" s="15"/>
      <c r="W523" s="15"/>
    </row>
    <row r="524">
      <c r="J524" s="15"/>
      <c r="V524" s="15"/>
      <c r="W524" s="15"/>
    </row>
    <row r="525">
      <c r="J525" s="15"/>
      <c r="V525" s="15"/>
      <c r="W525" s="15"/>
    </row>
    <row r="526">
      <c r="J526" s="15"/>
      <c r="V526" s="15"/>
      <c r="W526" s="15"/>
    </row>
    <row r="527">
      <c r="J527" s="15"/>
      <c r="V527" s="15"/>
      <c r="W527" s="15"/>
    </row>
    <row r="528">
      <c r="J528" s="15"/>
      <c r="V528" s="15"/>
      <c r="W528" s="15"/>
    </row>
    <row r="529">
      <c r="J529" s="15"/>
      <c r="V529" s="15"/>
      <c r="W529" s="15"/>
    </row>
    <row r="530">
      <c r="J530" s="15"/>
      <c r="V530" s="15"/>
      <c r="W530" s="15"/>
    </row>
    <row r="531">
      <c r="J531" s="15"/>
      <c r="V531" s="15"/>
      <c r="W531" s="15"/>
    </row>
    <row r="532">
      <c r="J532" s="15"/>
      <c r="V532" s="15"/>
      <c r="W532" s="15"/>
    </row>
    <row r="533">
      <c r="J533" s="15"/>
      <c r="V533" s="15"/>
      <c r="W533" s="15"/>
    </row>
    <row r="534">
      <c r="J534" s="15"/>
      <c r="V534" s="15"/>
      <c r="W534" s="15"/>
    </row>
    <row r="535">
      <c r="J535" s="15"/>
      <c r="V535" s="15"/>
      <c r="W535" s="15"/>
    </row>
    <row r="536">
      <c r="J536" s="15"/>
      <c r="V536" s="15"/>
      <c r="W536" s="15"/>
    </row>
    <row r="537">
      <c r="J537" s="15"/>
      <c r="V537" s="15"/>
      <c r="W537" s="15"/>
    </row>
    <row r="538">
      <c r="J538" s="15"/>
      <c r="V538" s="15"/>
      <c r="W538" s="15"/>
    </row>
    <row r="539">
      <c r="J539" s="15"/>
      <c r="V539" s="15"/>
      <c r="W539" s="15"/>
    </row>
    <row r="540">
      <c r="J540" s="15"/>
      <c r="V540" s="15"/>
      <c r="W540" s="15"/>
    </row>
    <row r="541">
      <c r="J541" s="15"/>
      <c r="V541" s="15"/>
      <c r="W541" s="15"/>
    </row>
    <row r="542">
      <c r="J542" s="15"/>
      <c r="V542" s="15"/>
      <c r="W542" s="15"/>
    </row>
    <row r="543">
      <c r="J543" s="15"/>
      <c r="V543" s="15"/>
      <c r="W543" s="15"/>
    </row>
    <row r="544">
      <c r="J544" s="15"/>
      <c r="V544" s="15"/>
      <c r="W544" s="15"/>
    </row>
    <row r="545">
      <c r="J545" s="15"/>
      <c r="V545" s="15"/>
      <c r="W545" s="15"/>
    </row>
    <row r="546">
      <c r="J546" s="15"/>
      <c r="V546" s="15"/>
      <c r="W546" s="15"/>
    </row>
    <row r="547">
      <c r="J547" s="15"/>
      <c r="V547" s="15"/>
      <c r="W547" s="15"/>
    </row>
    <row r="548">
      <c r="J548" s="15"/>
      <c r="V548" s="15"/>
      <c r="W548" s="15"/>
    </row>
    <row r="549">
      <c r="J549" s="15"/>
      <c r="V549" s="15"/>
      <c r="W549" s="15"/>
    </row>
    <row r="550">
      <c r="J550" s="15"/>
      <c r="V550" s="15"/>
      <c r="W550" s="15"/>
    </row>
    <row r="551">
      <c r="J551" s="15"/>
      <c r="V551" s="15"/>
      <c r="W551" s="15"/>
    </row>
    <row r="552">
      <c r="J552" s="15"/>
      <c r="V552" s="15"/>
      <c r="W552" s="15"/>
    </row>
    <row r="553">
      <c r="J553" s="15"/>
      <c r="V553" s="15"/>
      <c r="W553" s="15"/>
    </row>
    <row r="554">
      <c r="J554" s="15"/>
      <c r="V554" s="15"/>
      <c r="W554" s="15"/>
    </row>
    <row r="555">
      <c r="J555" s="15"/>
      <c r="V555" s="15"/>
      <c r="W555" s="15"/>
    </row>
    <row r="556">
      <c r="J556" s="15"/>
      <c r="V556" s="15"/>
      <c r="W556" s="15"/>
    </row>
    <row r="557">
      <c r="J557" s="15"/>
      <c r="V557" s="15"/>
      <c r="W557" s="15"/>
    </row>
    <row r="558">
      <c r="J558" s="15"/>
      <c r="V558" s="15"/>
      <c r="W558" s="15"/>
    </row>
    <row r="559">
      <c r="J559" s="15"/>
      <c r="V559" s="15"/>
      <c r="W559" s="15"/>
    </row>
    <row r="560">
      <c r="J560" s="15"/>
      <c r="V560" s="15"/>
      <c r="W560" s="15"/>
    </row>
    <row r="561">
      <c r="J561" s="15"/>
      <c r="V561" s="15"/>
      <c r="W561" s="15"/>
    </row>
    <row r="562">
      <c r="J562" s="15"/>
      <c r="V562" s="15"/>
      <c r="W562" s="15"/>
    </row>
    <row r="563">
      <c r="J563" s="15"/>
      <c r="V563" s="15"/>
      <c r="W563" s="15"/>
    </row>
    <row r="564">
      <c r="J564" s="15"/>
      <c r="V564" s="15"/>
      <c r="W564" s="15"/>
    </row>
    <row r="565">
      <c r="J565" s="15"/>
      <c r="V565" s="15"/>
      <c r="W565" s="15"/>
    </row>
    <row r="566">
      <c r="J566" s="15"/>
      <c r="V566" s="15"/>
      <c r="W566" s="15"/>
    </row>
    <row r="567">
      <c r="J567" s="15"/>
      <c r="V567" s="15"/>
      <c r="W567" s="15"/>
    </row>
    <row r="568">
      <c r="J568" s="15"/>
      <c r="V568" s="15"/>
      <c r="W568" s="15"/>
    </row>
    <row r="569">
      <c r="J569" s="15"/>
      <c r="V569" s="15"/>
      <c r="W569" s="15"/>
    </row>
    <row r="570">
      <c r="J570" s="15"/>
      <c r="V570" s="15"/>
      <c r="W570" s="15"/>
    </row>
    <row r="571">
      <c r="J571" s="15"/>
      <c r="V571" s="15"/>
      <c r="W571" s="15"/>
    </row>
    <row r="572">
      <c r="J572" s="15"/>
      <c r="V572" s="15"/>
      <c r="W572" s="15"/>
    </row>
    <row r="573">
      <c r="J573" s="15"/>
      <c r="V573" s="15"/>
      <c r="W573" s="15"/>
    </row>
    <row r="574">
      <c r="J574" s="15"/>
      <c r="V574" s="15"/>
      <c r="W574" s="15"/>
    </row>
    <row r="575">
      <c r="J575" s="15"/>
      <c r="V575" s="15"/>
      <c r="W575" s="15"/>
    </row>
    <row r="576">
      <c r="J576" s="15"/>
      <c r="V576" s="15"/>
      <c r="W576" s="15"/>
    </row>
    <row r="577">
      <c r="J577" s="15"/>
      <c r="V577" s="15"/>
      <c r="W577" s="15"/>
    </row>
    <row r="578">
      <c r="J578" s="15"/>
      <c r="V578" s="15"/>
      <c r="W578" s="15"/>
    </row>
    <row r="579">
      <c r="J579" s="15"/>
      <c r="V579" s="15"/>
      <c r="W579" s="15"/>
    </row>
    <row r="580">
      <c r="J580" s="15"/>
      <c r="V580" s="15"/>
      <c r="W580" s="15"/>
    </row>
    <row r="581">
      <c r="J581" s="15"/>
      <c r="V581" s="15"/>
      <c r="W581" s="15"/>
    </row>
    <row r="582">
      <c r="J582" s="15"/>
      <c r="V582" s="15"/>
      <c r="W582" s="15"/>
    </row>
    <row r="583">
      <c r="J583" s="15"/>
      <c r="V583" s="15"/>
      <c r="W583" s="15"/>
    </row>
    <row r="584">
      <c r="J584" s="15"/>
      <c r="V584" s="15"/>
      <c r="W584" s="15"/>
    </row>
    <row r="585">
      <c r="J585" s="15"/>
      <c r="V585" s="15"/>
      <c r="W585" s="15"/>
    </row>
    <row r="586">
      <c r="J586" s="15"/>
      <c r="V586" s="15"/>
      <c r="W586" s="15"/>
    </row>
    <row r="587">
      <c r="J587" s="15"/>
      <c r="V587" s="15"/>
      <c r="W587" s="15"/>
    </row>
    <row r="588">
      <c r="J588" s="15"/>
      <c r="V588" s="15"/>
      <c r="W588" s="15"/>
    </row>
    <row r="589">
      <c r="J589" s="15"/>
      <c r="V589" s="15"/>
      <c r="W589" s="15"/>
    </row>
    <row r="590">
      <c r="J590" s="15"/>
      <c r="V590" s="15"/>
      <c r="W590" s="15"/>
    </row>
    <row r="591">
      <c r="J591" s="15"/>
      <c r="V591" s="15"/>
      <c r="W591" s="15"/>
    </row>
    <row r="592">
      <c r="J592" s="15"/>
      <c r="V592" s="15"/>
      <c r="W592" s="15"/>
    </row>
    <row r="593">
      <c r="J593" s="15"/>
      <c r="V593" s="15"/>
      <c r="W593" s="15"/>
    </row>
    <row r="594">
      <c r="J594" s="15"/>
      <c r="V594" s="15"/>
      <c r="W594" s="15"/>
    </row>
    <row r="595">
      <c r="J595" s="15"/>
      <c r="V595" s="15"/>
      <c r="W595" s="15"/>
    </row>
    <row r="596">
      <c r="J596" s="15"/>
      <c r="V596" s="15"/>
      <c r="W596" s="15"/>
    </row>
    <row r="597">
      <c r="J597" s="15"/>
      <c r="V597" s="15"/>
      <c r="W597" s="15"/>
    </row>
    <row r="598">
      <c r="J598" s="15"/>
      <c r="V598" s="15"/>
      <c r="W598" s="15"/>
    </row>
    <row r="599">
      <c r="J599" s="15"/>
      <c r="V599" s="15"/>
      <c r="W599" s="15"/>
    </row>
    <row r="600">
      <c r="J600" s="15"/>
      <c r="V600" s="15"/>
      <c r="W600" s="15"/>
    </row>
    <row r="601">
      <c r="J601" s="15"/>
      <c r="V601" s="15"/>
      <c r="W601" s="15"/>
    </row>
    <row r="602">
      <c r="J602" s="15"/>
      <c r="V602" s="15"/>
      <c r="W602" s="15"/>
    </row>
    <row r="603">
      <c r="J603" s="15"/>
      <c r="V603" s="15"/>
      <c r="W603" s="15"/>
    </row>
    <row r="604">
      <c r="J604" s="15"/>
      <c r="V604" s="15"/>
      <c r="W604" s="15"/>
    </row>
    <row r="605">
      <c r="J605" s="15"/>
      <c r="V605" s="15"/>
      <c r="W605" s="15"/>
    </row>
    <row r="606">
      <c r="J606" s="15"/>
      <c r="V606" s="15"/>
      <c r="W606" s="15"/>
    </row>
    <row r="607">
      <c r="J607" s="15"/>
      <c r="V607" s="15"/>
      <c r="W607" s="15"/>
    </row>
    <row r="608">
      <c r="J608" s="15"/>
      <c r="V608" s="15"/>
      <c r="W608" s="15"/>
    </row>
    <row r="609">
      <c r="J609" s="15"/>
      <c r="V609" s="15"/>
      <c r="W609" s="15"/>
    </row>
    <row r="610">
      <c r="J610" s="15"/>
      <c r="V610" s="15"/>
      <c r="W610" s="15"/>
    </row>
    <row r="611">
      <c r="J611" s="15"/>
      <c r="V611" s="15"/>
      <c r="W611" s="15"/>
    </row>
    <row r="612">
      <c r="J612" s="15"/>
      <c r="V612" s="15"/>
      <c r="W612" s="15"/>
    </row>
    <row r="613">
      <c r="J613" s="15"/>
      <c r="V613" s="15"/>
      <c r="W613" s="15"/>
    </row>
    <row r="614">
      <c r="J614" s="15"/>
      <c r="V614" s="15"/>
      <c r="W614" s="15"/>
    </row>
    <row r="615">
      <c r="J615" s="15"/>
      <c r="V615" s="15"/>
      <c r="W615" s="15"/>
    </row>
    <row r="616">
      <c r="J616" s="15"/>
      <c r="V616" s="15"/>
      <c r="W616" s="15"/>
    </row>
    <row r="617">
      <c r="J617" s="15"/>
      <c r="V617" s="15"/>
      <c r="W617" s="15"/>
    </row>
    <row r="618">
      <c r="J618" s="15"/>
      <c r="V618" s="15"/>
      <c r="W618" s="15"/>
    </row>
    <row r="619">
      <c r="J619" s="15"/>
      <c r="V619" s="15"/>
      <c r="W619" s="15"/>
    </row>
    <row r="620">
      <c r="J620" s="15"/>
      <c r="V620" s="15"/>
      <c r="W620" s="15"/>
    </row>
    <row r="621">
      <c r="J621" s="15"/>
      <c r="V621" s="15"/>
      <c r="W621" s="15"/>
    </row>
    <row r="622">
      <c r="J622" s="15"/>
      <c r="V622" s="15"/>
      <c r="W622" s="15"/>
    </row>
    <row r="623">
      <c r="J623" s="15"/>
      <c r="V623" s="15"/>
      <c r="W623" s="15"/>
    </row>
    <row r="624">
      <c r="J624" s="15"/>
      <c r="V624" s="15"/>
      <c r="W624" s="15"/>
    </row>
    <row r="625">
      <c r="J625" s="15"/>
      <c r="V625" s="15"/>
      <c r="W625" s="15"/>
    </row>
    <row r="626">
      <c r="J626" s="15"/>
      <c r="V626" s="15"/>
      <c r="W626" s="15"/>
    </row>
    <row r="627">
      <c r="J627" s="15"/>
      <c r="V627" s="15"/>
      <c r="W627" s="15"/>
    </row>
    <row r="628">
      <c r="J628" s="15"/>
      <c r="V628" s="15"/>
      <c r="W628" s="15"/>
    </row>
    <row r="629">
      <c r="J629" s="15"/>
      <c r="V629" s="15"/>
      <c r="W629" s="15"/>
    </row>
    <row r="630">
      <c r="J630" s="15"/>
      <c r="V630" s="15"/>
      <c r="W630" s="15"/>
    </row>
    <row r="631">
      <c r="J631" s="15"/>
      <c r="V631" s="15"/>
      <c r="W631" s="15"/>
    </row>
    <row r="632">
      <c r="J632" s="15"/>
      <c r="V632" s="15"/>
      <c r="W632" s="15"/>
    </row>
    <row r="633">
      <c r="J633" s="15"/>
      <c r="V633" s="15"/>
      <c r="W633" s="15"/>
    </row>
    <row r="634">
      <c r="J634" s="15"/>
      <c r="V634" s="15"/>
      <c r="W634" s="15"/>
    </row>
    <row r="635">
      <c r="J635" s="15"/>
      <c r="V635" s="15"/>
      <c r="W635" s="15"/>
    </row>
    <row r="636">
      <c r="J636" s="15"/>
      <c r="V636" s="15"/>
      <c r="W636" s="15"/>
    </row>
    <row r="637">
      <c r="J637" s="15"/>
      <c r="V637" s="15"/>
      <c r="W637" s="15"/>
    </row>
    <row r="638">
      <c r="J638" s="15"/>
      <c r="V638" s="15"/>
      <c r="W638" s="15"/>
    </row>
    <row r="639">
      <c r="J639" s="15"/>
      <c r="V639" s="15"/>
      <c r="W639" s="15"/>
    </row>
    <row r="640">
      <c r="J640" s="15"/>
      <c r="V640" s="15"/>
      <c r="W640" s="15"/>
    </row>
    <row r="641">
      <c r="J641" s="15"/>
      <c r="V641" s="15"/>
      <c r="W641" s="15"/>
    </row>
    <row r="642">
      <c r="J642" s="15"/>
      <c r="V642" s="15"/>
      <c r="W642" s="15"/>
    </row>
    <row r="643">
      <c r="J643" s="15"/>
      <c r="V643" s="15"/>
      <c r="W643" s="15"/>
    </row>
    <row r="644">
      <c r="J644" s="15"/>
      <c r="V644" s="15"/>
      <c r="W644" s="15"/>
    </row>
    <row r="645">
      <c r="J645" s="15"/>
      <c r="V645" s="15"/>
      <c r="W645" s="15"/>
    </row>
    <row r="646">
      <c r="J646" s="15"/>
      <c r="V646" s="15"/>
      <c r="W646" s="15"/>
    </row>
    <row r="647">
      <c r="J647" s="15"/>
      <c r="V647" s="15"/>
      <c r="W647" s="15"/>
    </row>
    <row r="648">
      <c r="J648" s="15"/>
      <c r="V648" s="15"/>
      <c r="W648" s="15"/>
    </row>
    <row r="649">
      <c r="J649" s="15"/>
      <c r="V649" s="15"/>
      <c r="W649" s="15"/>
    </row>
    <row r="650">
      <c r="J650" s="15"/>
      <c r="V650" s="15"/>
      <c r="W650" s="15"/>
    </row>
    <row r="651">
      <c r="J651" s="15"/>
      <c r="V651" s="15"/>
      <c r="W651" s="15"/>
    </row>
    <row r="652">
      <c r="J652" s="15"/>
      <c r="V652" s="15"/>
      <c r="W652" s="15"/>
    </row>
    <row r="653">
      <c r="J653" s="15"/>
      <c r="V653" s="15"/>
      <c r="W653" s="15"/>
    </row>
    <row r="654">
      <c r="J654" s="15"/>
      <c r="V654" s="15"/>
      <c r="W654" s="15"/>
    </row>
    <row r="655">
      <c r="J655" s="15"/>
      <c r="V655" s="15"/>
      <c r="W655" s="15"/>
    </row>
    <row r="656">
      <c r="J656" s="15"/>
      <c r="V656" s="15"/>
      <c r="W656" s="15"/>
    </row>
    <row r="657">
      <c r="J657" s="15"/>
      <c r="V657" s="15"/>
      <c r="W657" s="15"/>
    </row>
    <row r="658">
      <c r="J658" s="15"/>
      <c r="V658" s="15"/>
      <c r="W658" s="15"/>
    </row>
    <row r="659">
      <c r="J659" s="15"/>
      <c r="V659" s="15"/>
      <c r="W659" s="15"/>
    </row>
    <row r="660">
      <c r="J660" s="15"/>
      <c r="V660" s="15"/>
      <c r="W660" s="15"/>
    </row>
    <row r="661">
      <c r="J661" s="15"/>
      <c r="V661" s="15"/>
      <c r="W661" s="15"/>
    </row>
    <row r="662">
      <c r="J662" s="15"/>
      <c r="V662" s="15"/>
      <c r="W662" s="15"/>
    </row>
    <row r="663">
      <c r="J663" s="15"/>
      <c r="V663" s="15"/>
      <c r="W663" s="15"/>
    </row>
    <row r="664">
      <c r="J664" s="15"/>
      <c r="V664" s="15"/>
      <c r="W664" s="15"/>
    </row>
    <row r="665">
      <c r="J665" s="15"/>
      <c r="V665" s="15"/>
      <c r="W665" s="15"/>
    </row>
    <row r="666">
      <c r="J666" s="15"/>
      <c r="V666" s="15"/>
      <c r="W666" s="15"/>
    </row>
    <row r="667">
      <c r="J667" s="15"/>
      <c r="V667" s="15"/>
      <c r="W667" s="15"/>
    </row>
    <row r="668">
      <c r="J668" s="15"/>
      <c r="V668" s="15"/>
      <c r="W668" s="15"/>
    </row>
    <row r="669">
      <c r="J669" s="15"/>
      <c r="V669" s="15"/>
      <c r="W669" s="15"/>
    </row>
    <row r="670">
      <c r="J670" s="15"/>
      <c r="V670" s="15"/>
      <c r="W670" s="15"/>
    </row>
    <row r="671">
      <c r="J671" s="15"/>
      <c r="V671" s="15"/>
      <c r="W671" s="15"/>
    </row>
    <row r="672">
      <c r="J672" s="15"/>
      <c r="V672" s="15"/>
      <c r="W672" s="15"/>
    </row>
    <row r="673">
      <c r="J673" s="15"/>
      <c r="V673" s="15"/>
      <c r="W673" s="15"/>
    </row>
    <row r="674">
      <c r="J674" s="15"/>
      <c r="V674" s="15"/>
      <c r="W674" s="15"/>
    </row>
    <row r="675">
      <c r="J675" s="15"/>
      <c r="V675" s="15"/>
      <c r="W675" s="15"/>
    </row>
    <row r="676">
      <c r="J676" s="15"/>
      <c r="V676" s="15"/>
      <c r="W676" s="15"/>
    </row>
    <row r="677">
      <c r="J677" s="15"/>
      <c r="V677" s="15"/>
      <c r="W677" s="15"/>
    </row>
    <row r="678">
      <c r="J678" s="15"/>
      <c r="V678" s="15"/>
      <c r="W678" s="15"/>
    </row>
    <row r="679">
      <c r="J679" s="15"/>
      <c r="V679" s="15"/>
      <c r="W679" s="15"/>
    </row>
    <row r="680">
      <c r="J680" s="15"/>
      <c r="V680" s="15"/>
      <c r="W680" s="15"/>
    </row>
    <row r="681">
      <c r="J681" s="15"/>
      <c r="V681" s="15"/>
      <c r="W681" s="15"/>
    </row>
    <row r="682">
      <c r="J682" s="15"/>
      <c r="V682" s="15"/>
      <c r="W682" s="15"/>
    </row>
    <row r="683">
      <c r="J683" s="15"/>
      <c r="V683" s="15"/>
      <c r="W683" s="15"/>
    </row>
    <row r="684">
      <c r="J684" s="15"/>
      <c r="V684" s="15"/>
      <c r="W684" s="15"/>
    </row>
    <row r="685">
      <c r="J685" s="15"/>
      <c r="V685" s="15"/>
      <c r="W685" s="15"/>
    </row>
    <row r="686">
      <c r="J686" s="15"/>
      <c r="V686" s="15"/>
      <c r="W686" s="15"/>
    </row>
    <row r="687">
      <c r="J687" s="15"/>
      <c r="V687" s="15"/>
      <c r="W687" s="15"/>
    </row>
    <row r="688">
      <c r="J688" s="15"/>
      <c r="V688" s="15"/>
      <c r="W688" s="15"/>
    </row>
    <row r="689">
      <c r="J689" s="15"/>
      <c r="V689" s="15"/>
      <c r="W689" s="15"/>
    </row>
    <row r="690">
      <c r="J690" s="15"/>
      <c r="V690" s="15"/>
      <c r="W690" s="15"/>
    </row>
    <row r="691">
      <c r="J691" s="15"/>
      <c r="V691" s="15"/>
      <c r="W691" s="15"/>
    </row>
    <row r="692">
      <c r="J692" s="15"/>
      <c r="V692" s="15"/>
      <c r="W692" s="15"/>
    </row>
    <row r="693">
      <c r="J693" s="15"/>
      <c r="V693" s="15"/>
      <c r="W693" s="15"/>
    </row>
    <row r="694">
      <c r="J694" s="15"/>
      <c r="V694" s="15"/>
      <c r="W694" s="15"/>
    </row>
    <row r="695">
      <c r="J695" s="15"/>
      <c r="V695" s="15"/>
      <c r="W695" s="15"/>
    </row>
    <row r="696">
      <c r="J696" s="15"/>
      <c r="V696" s="15"/>
      <c r="W696" s="15"/>
    </row>
    <row r="697">
      <c r="J697" s="15"/>
      <c r="V697" s="15"/>
      <c r="W697" s="15"/>
    </row>
    <row r="698">
      <c r="J698" s="15"/>
      <c r="V698" s="15"/>
      <c r="W698" s="15"/>
    </row>
    <row r="699">
      <c r="J699" s="15"/>
      <c r="V699" s="15"/>
      <c r="W699" s="15"/>
    </row>
    <row r="700">
      <c r="J700" s="15"/>
      <c r="V700" s="15"/>
      <c r="W700" s="15"/>
    </row>
    <row r="701">
      <c r="J701" s="15"/>
      <c r="V701" s="15"/>
      <c r="W701" s="15"/>
    </row>
    <row r="702">
      <c r="J702" s="15"/>
      <c r="V702" s="15"/>
      <c r="W702" s="15"/>
    </row>
    <row r="703">
      <c r="J703" s="15"/>
      <c r="V703" s="15"/>
      <c r="W703" s="15"/>
    </row>
    <row r="704">
      <c r="J704" s="15"/>
      <c r="V704" s="15"/>
      <c r="W704" s="15"/>
    </row>
    <row r="705">
      <c r="J705" s="15"/>
      <c r="V705" s="15"/>
      <c r="W705" s="15"/>
    </row>
    <row r="706">
      <c r="J706" s="15"/>
      <c r="V706" s="15"/>
      <c r="W706" s="15"/>
    </row>
    <row r="707">
      <c r="J707" s="15"/>
      <c r="V707" s="15"/>
      <c r="W707" s="15"/>
    </row>
    <row r="708">
      <c r="J708" s="15"/>
      <c r="V708" s="15"/>
      <c r="W708" s="15"/>
    </row>
    <row r="709">
      <c r="J709" s="15"/>
      <c r="V709" s="15"/>
      <c r="W709" s="15"/>
    </row>
    <row r="710">
      <c r="J710" s="15"/>
      <c r="V710" s="15"/>
      <c r="W710" s="15"/>
    </row>
    <row r="711">
      <c r="J711" s="15"/>
      <c r="V711" s="15"/>
      <c r="W711" s="15"/>
    </row>
    <row r="712">
      <c r="J712" s="15"/>
      <c r="V712" s="15"/>
      <c r="W712" s="15"/>
    </row>
    <row r="713">
      <c r="J713" s="15"/>
      <c r="V713" s="15"/>
      <c r="W713" s="15"/>
    </row>
    <row r="714">
      <c r="J714" s="15"/>
      <c r="V714" s="15"/>
      <c r="W714" s="15"/>
    </row>
    <row r="715">
      <c r="J715" s="15"/>
      <c r="V715" s="15"/>
      <c r="W715" s="15"/>
    </row>
    <row r="716">
      <c r="J716" s="15"/>
      <c r="V716" s="15"/>
      <c r="W716" s="15"/>
    </row>
    <row r="717">
      <c r="J717" s="15"/>
      <c r="V717" s="15"/>
      <c r="W717" s="15"/>
    </row>
    <row r="718">
      <c r="J718" s="15"/>
      <c r="V718" s="15"/>
      <c r="W718" s="15"/>
    </row>
    <row r="719">
      <c r="J719" s="15"/>
      <c r="V719" s="15"/>
      <c r="W719" s="15"/>
    </row>
    <row r="720">
      <c r="J720" s="15"/>
      <c r="V720" s="15"/>
      <c r="W720" s="15"/>
    </row>
    <row r="721">
      <c r="J721" s="15"/>
      <c r="V721" s="15"/>
      <c r="W721" s="15"/>
    </row>
    <row r="722">
      <c r="J722" s="15"/>
      <c r="V722" s="15"/>
      <c r="W722" s="15"/>
    </row>
    <row r="723">
      <c r="J723" s="15"/>
      <c r="V723" s="15"/>
      <c r="W723" s="15"/>
    </row>
    <row r="724">
      <c r="J724" s="15"/>
      <c r="V724" s="15"/>
      <c r="W724" s="15"/>
    </row>
    <row r="725">
      <c r="J725" s="15"/>
      <c r="V725" s="15"/>
      <c r="W725" s="15"/>
    </row>
    <row r="726">
      <c r="J726" s="15"/>
      <c r="V726" s="15"/>
      <c r="W726" s="15"/>
    </row>
    <row r="727">
      <c r="J727" s="15"/>
      <c r="V727" s="15"/>
      <c r="W727" s="15"/>
    </row>
    <row r="728">
      <c r="J728" s="15"/>
      <c r="V728" s="15"/>
      <c r="W728" s="15"/>
    </row>
    <row r="729">
      <c r="J729" s="15"/>
      <c r="V729" s="15"/>
      <c r="W729" s="15"/>
    </row>
    <row r="730">
      <c r="J730" s="15"/>
      <c r="V730" s="15"/>
      <c r="W730" s="15"/>
    </row>
    <row r="731">
      <c r="J731" s="15"/>
      <c r="V731" s="15"/>
      <c r="W731" s="15"/>
    </row>
    <row r="732">
      <c r="J732" s="15"/>
      <c r="V732" s="15"/>
      <c r="W732" s="15"/>
    </row>
    <row r="733">
      <c r="J733" s="15"/>
      <c r="V733" s="15"/>
      <c r="W733" s="15"/>
    </row>
    <row r="734">
      <c r="J734" s="15"/>
      <c r="V734" s="15"/>
      <c r="W734" s="15"/>
    </row>
    <row r="735">
      <c r="J735" s="15"/>
      <c r="V735" s="15"/>
      <c r="W735" s="15"/>
    </row>
    <row r="736">
      <c r="J736" s="15"/>
      <c r="V736" s="15"/>
      <c r="W736" s="15"/>
    </row>
    <row r="737">
      <c r="J737" s="15"/>
      <c r="V737" s="15"/>
      <c r="W737" s="15"/>
    </row>
    <row r="738">
      <c r="J738" s="15"/>
      <c r="V738" s="15"/>
      <c r="W738" s="15"/>
    </row>
    <row r="739">
      <c r="J739" s="15"/>
      <c r="V739" s="15"/>
      <c r="W739" s="15"/>
    </row>
    <row r="740">
      <c r="J740" s="15"/>
      <c r="V740" s="15"/>
      <c r="W740" s="15"/>
    </row>
    <row r="741">
      <c r="J741" s="15"/>
      <c r="V741" s="15"/>
      <c r="W741" s="15"/>
    </row>
    <row r="742">
      <c r="J742" s="15"/>
      <c r="V742" s="15"/>
      <c r="W742" s="15"/>
    </row>
    <row r="743">
      <c r="J743" s="15"/>
      <c r="V743" s="15"/>
      <c r="W743" s="15"/>
    </row>
    <row r="744">
      <c r="J744" s="15"/>
      <c r="V744" s="15"/>
      <c r="W744" s="15"/>
    </row>
    <row r="745">
      <c r="J745" s="15"/>
      <c r="V745" s="15"/>
      <c r="W745" s="15"/>
    </row>
    <row r="746">
      <c r="J746" s="15"/>
      <c r="V746" s="15"/>
      <c r="W746" s="15"/>
    </row>
    <row r="747">
      <c r="J747" s="15"/>
      <c r="V747" s="15"/>
      <c r="W747" s="15"/>
    </row>
    <row r="748">
      <c r="J748" s="15"/>
      <c r="V748" s="15"/>
      <c r="W748" s="15"/>
    </row>
    <row r="749">
      <c r="J749" s="15"/>
      <c r="V749" s="15"/>
      <c r="W749" s="15"/>
    </row>
    <row r="750">
      <c r="J750" s="15"/>
      <c r="V750" s="15"/>
      <c r="W750" s="15"/>
    </row>
    <row r="751">
      <c r="J751" s="15"/>
      <c r="V751" s="15"/>
      <c r="W751" s="15"/>
    </row>
    <row r="752">
      <c r="J752" s="15"/>
      <c r="V752" s="15"/>
      <c r="W752" s="15"/>
    </row>
    <row r="753">
      <c r="J753" s="15"/>
      <c r="V753" s="15"/>
      <c r="W753" s="15"/>
    </row>
    <row r="754">
      <c r="J754" s="15"/>
      <c r="V754" s="15"/>
      <c r="W754" s="15"/>
    </row>
    <row r="755">
      <c r="J755" s="15"/>
      <c r="V755" s="15"/>
      <c r="W755" s="15"/>
    </row>
    <row r="756">
      <c r="J756" s="15"/>
      <c r="V756" s="15"/>
      <c r="W756" s="15"/>
    </row>
    <row r="757">
      <c r="J757" s="15"/>
      <c r="V757" s="15"/>
      <c r="W757" s="15"/>
    </row>
    <row r="758">
      <c r="J758" s="15"/>
      <c r="V758" s="15"/>
      <c r="W758" s="15"/>
    </row>
    <row r="759">
      <c r="J759" s="15"/>
      <c r="V759" s="15"/>
      <c r="W759" s="15"/>
    </row>
    <row r="760">
      <c r="J760" s="15"/>
      <c r="V760" s="15"/>
      <c r="W760" s="15"/>
    </row>
    <row r="761">
      <c r="J761" s="15"/>
      <c r="V761" s="15"/>
      <c r="W761" s="15"/>
    </row>
    <row r="762">
      <c r="J762" s="15"/>
      <c r="V762" s="15"/>
      <c r="W762" s="15"/>
    </row>
    <row r="763">
      <c r="J763" s="15"/>
      <c r="V763" s="15"/>
      <c r="W763" s="15"/>
    </row>
    <row r="764">
      <c r="J764" s="15"/>
      <c r="V764" s="15"/>
      <c r="W764" s="15"/>
    </row>
    <row r="765">
      <c r="J765" s="15"/>
      <c r="V765" s="15"/>
      <c r="W765" s="15"/>
    </row>
    <row r="766">
      <c r="J766" s="15"/>
      <c r="V766" s="15"/>
      <c r="W766" s="15"/>
    </row>
    <row r="767">
      <c r="J767" s="15"/>
      <c r="V767" s="15"/>
      <c r="W767" s="15"/>
    </row>
    <row r="768">
      <c r="J768" s="15"/>
      <c r="V768" s="15"/>
      <c r="W768" s="15"/>
    </row>
    <row r="769">
      <c r="J769" s="15"/>
      <c r="V769" s="15"/>
      <c r="W769" s="15"/>
    </row>
    <row r="770">
      <c r="J770" s="15"/>
      <c r="V770" s="15"/>
      <c r="W770" s="15"/>
    </row>
    <row r="771">
      <c r="J771" s="15"/>
      <c r="V771" s="15"/>
      <c r="W771" s="15"/>
    </row>
    <row r="772">
      <c r="J772" s="15"/>
      <c r="V772" s="15"/>
      <c r="W772" s="15"/>
    </row>
    <row r="773">
      <c r="J773" s="15"/>
      <c r="V773" s="15"/>
      <c r="W773" s="15"/>
    </row>
    <row r="774">
      <c r="J774" s="15"/>
      <c r="V774" s="15"/>
      <c r="W774" s="15"/>
    </row>
    <row r="775">
      <c r="J775" s="15"/>
      <c r="V775" s="15"/>
      <c r="W775" s="15"/>
    </row>
    <row r="776">
      <c r="J776" s="15"/>
      <c r="V776" s="15"/>
      <c r="W776" s="15"/>
    </row>
    <row r="777">
      <c r="J777" s="15"/>
      <c r="V777" s="15"/>
      <c r="W777" s="15"/>
    </row>
    <row r="778">
      <c r="J778" s="15"/>
      <c r="V778" s="15"/>
      <c r="W778" s="15"/>
    </row>
    <row r="779">
      <c r="J779" s="15"/>
      <c r="V779" s="15"/>
      <c r="W779" s="15"/>
    </row>
    <row r="780">
      <c r="J780" s="15"/>
      <c r="V780" s="15"/>
      <c r="W780" s="15"/>
    </row>
    <row r="781">
      <c r="J781" s="15"/>
      <c r="V781" s="15"/>
      <c r="W781" s="15"/>
    </row>
    <row r="782">
      <c r="J782" s="15"/>
      <c r="V782" s="15"/>
      <c r="W782" s="15"/>
    </row>
    <row r="783">
      <c r="J783" s="15"/>
      <c r="V783" s="15"/>
      <c r="W783" s="15"/>
    </row>
    <row r="784">
      <c r="J784" s="15"/>
      <c r="V784" s="15"/>
      <c r="W784" s="15"/>
    </row>
    <row r="785">
      <c r="J785" s="15"/>
      <c r="V785" s="15"/>
      <c r="W785" s="15"/>
    </row>
    <row r="786">
      <c r="J786" s="15"/>
      <c r="V786" s="15"/>
      <c r="W786" s="15"/>
    </row>
    <row r="787">
      <c r="J787" s="15"/>
      <c r="V787" s="15"/>
      <c r="W787" s="15"/>
    </row>
    <row r="788">
      <c r="J788" s="15"/>
      <c r="V788" s="15"/>
      <c r="W788" s="15"/>
    </row>
    <row r="789">
      <c r="J789" s="15"/>
      <c r="V789" s="15"/>
      <c r="W789" s="15"/>
    </row>
    <row r="790">
      <c r="J790" s="15"/>
      <c r="V790" s="15"/>
      <c r="W790" s="15"/>
    </row>
    <row r="791">
      <c r="J791" s="15"/>
      <c r="V791" s="15"/>
      <c r="W791" s="15"/>
    </row>
    <row r="792">
      <c r="J792" s="15"/>
      <c r="V792" s="15"/>
      <c r="W792" s="15"/>
    </row>
    <row r="793">
      <c r="J793" s="15"/>
      <c r="V793" s="15"/>
      <c r="W793" s="15"/>
    </row>
    <row r="794">
      <c r="J794" s="15"/>
      <c r="V794" s="15"/>
      <c r="W794" s="15"/>
    </row>
    <row r="795">
      <c r="J795" s="15"/>
      <c r="V795" s="15"/>
      <c r="W795" s="15"/>
    </row>
    <row r="796">
      <c r="J796" s="15"/>
      <c r="V796" s="15"/>
      <c r="W796" s="15"/>
    </row>
    <row r="797">
      <c r="J797" s="15"/>
      <c r="V797" s="15"/>
      <c r="W797" s="15"/>
    </row>
    <row r="798">
      <c r="J798" s="15"/>
      <c r="V798" s="15"/>
      <c r="W798" s="15"/>
    </row>
    <row r="799">
      <c r="J799" s="15"/>
      <c r="V799" s="15"/>
      <c r="W799" s="15"/>
    </row>
    <row r="800">
      <c r="J800" s="15"/>
      <c r="V800" s="15"/>
      <c r="W800" s="15"/>
    </row>
    <row r="801">
      <c r="J801" s="15"/>
      <c r="V801" s="15"/>
      <c r="W801" s="15"/>
    </row>
    <row r="802">
      <c r="J802" s="15"/>
      <c r="V802" s="15"/>
      <c r="W802" s="15"/>
    </row>
    <row r="803">
      <c r="J803" s="15"/>
      <c r="V803" s="15"/>
      <c r="W803" s="15"/>
    </row>
    <row r="804">
      <c r="J804" s="15"/>
      <c r="V804" s="15"/>
      <c r="W804" s="15"/>
    </row>
    <row r="805">
      <c r="J805" s="15"/>
      <c r="V805" s="15"/>
      <c r="W805" s="15"/>
    </row>
    <row r="806">
      <c r="J806" s="15"/>
      <c r="V806" s="15"/>
      <c r="W806" s="15"/>
    </row>
    <row r="807">
      <c r="J807" s="15"/>
      <c r="V807" s="15"/>
      <c r="W807" s="15"/>
    </row>
    <row r="808">
      <c r="J808" s="15"/>
      <c r="V808" s="15"/>
      <c r="W808" s="15"/>
    </row>
    <row r="809">
      <c r="J809" s="15"/>
      <c r="V809" s="15"/>
      <c r="W809" s="15"/>
    </row>
    <row r="810">
      <c r="J810" s="15"/>
      <c r="V810" s="15"/>
      <c r="W810" s="15"/>
    </row>
    <row r="811">
      <c r="J811" s="15"/>
      <c r="V811" s="15"/>
      <c r="W811" s="15"/>
    </row>
    <row r="812">
      <c r="J812" s="15"/>
      <c r="V812" s="15"/>
      <c r="W812" s="15"/>
    </row>
    <row r="813">
      <c r="J813" s="15"/>
      <c r="V813" s="15"/>
      <c r="W813" s="15"/>
    </row>
    <row r="814">
      <c r="J814" s="15"/>
      <c r="V814" s="15"/>
      <c r="W814" s="15"/>
    </row>
    <row r="815">
      <c r="J815" s="15"/>
      <c r="V815" s="15"/>
      <c r="W815" s="15"/>
    </row>
    <row r="816">
      <c r="J816" s="15"/>
      <c r="V816" s="15"/>
      <c r="W816" s="15"/>
    </row>
    <row r="817">
      <c r="J817" s="15"/>
      <c r="V817" s="15"/>
      <c r="W817" s="15"/>
    </row>
    <row r="818">
      <c r="J818" s="15"/>
      <c r="V818" s="15"/>
      <c r="W818" s="15"/>
    </row>
    <row r="819">
      <c r="J819" s="15"/>
      <c r="V819" s="15"/>
      <c r="W819" s="15"/>
    </row>
    <row r="820">
      <c r="J820" s="15"/>
      <c r="V820" s="15"/>
      <c r="W820" s="15"/>
    </row>
    <row r="821">
      <c r="J821" s="15"/>
      <c r="V821" s="15"/>
      <c r="W821" s="15"/>
    </row>
    <row r="822">
      <c r="J822" s="15"/>
      <c r="V822" s="15"/>
      <c r="W822" s="15"/>
    </row>
    <row r="823">
      <c r="J823" s="15"/>
      <c r="V823" s="15"/>
      <c r="W823" s="15"/>
    </row>
    <row r="824">
      <c r="J824" s="15"/>
      <c r="V824" s="15"/>
      <c r="W824" s="15"/>
    </row>
    <row r="825">
      <c r="J825" s="15"/>
      <c r="V825" s="15"/>
      <c r="W825" s="15"/>
    </row>
    <row r="826">
      <c r="J826" s="15"/>
      <c r="V826" s="15"/>
      <c r="W826" s="15"/>
    </row>
    <row r="827">
      <c r="J827" s="15"/>
      <c r="V827" s="15"/>
      <c r="W827" s="15"/>
    </row>
    <row r="828">
      <c r="J828" s="15"/>
      <c r="V828" s="15"/>
      <c r="W828" s="15"/>
    </row>
    <row r="829">
      <c r="J829" s="15"/>
      <c r="V829" s="15"/>
      <c r="W829" s="15"/>
    </row>
    <row r="830">
      <c r="J830" s="15"/>
      <c r="V830" s="15"/>
      <c r="W830" s="15"/>
    </row>
    <row r="831">
      <c r="J831" s="15"/>
      <c r="V831" s="15"/>
      <c r="W831" s="15"/>
    </row>
    <row r="832">
      <c r="J832" s="15"/>
      <c r="V832" s="15"/>
      <c r="W832" s="15"/>
    </row>
    <row r="833">
      <c r="J833" s="15"/>
      <c r="V833" s="15"/>
      <c r="W833" s="15"/>
    </row>
    <row r="834">
      <c r="J834" s="15"/>
      <c r="V834" s="15"/>
      <c r="W834" s="15"/>
    </row>
    <row r="835">
      <c r="J835" s="15"/>
      <c r="V835" s="15"/>
      <c r="W835" s="15"/>
    </row>
    <row r="836">
      <c r="J836" s="15"/>
      <c r="V836" s="15"/>
      <c r="W836" s="15"/>
    </row>
    <row r="837">
      <c r="J837" s="15"/>
      <c r="V837" s="15"/>
      <c r="W837" s="15"/>
    </row>
    <row r="838">
      <c r="J838" s="15"/>
      <c r="V838" s="15"/>
      <c r="W838" s="15"/>
    </row>
    <row r="839">
      <c r="J839" s="15"/>
      <c r="V839" s="15"/>
      <c r="W839" s="15"/>
    </row>
    <row r="840">
      <c r="J840" s="15"/>
      <c r="V840" s="15"/>
      <c r="W840" s="15"/>
    </row>
    <row r="841">
      <c r="J841" s="15"/>
      <c r="V841" s="15"/>
      <c r="W841" s="15"/>
    </row>
    <row r="842">
      <c r="J842" s="15"/>
      <c r="V842" s="15"/>
      <c r="W842" s="15"/>
    </row>
    <row r="843">
      <c r="J843" s="15"/>
      <c r="V843" s="15"/>
      <c r="W843" s="15"/>
    </row>
    <row r="844">
      <c r="J844" s="15"/>
      <c r="V844" s="15"/>
      <c r="W844" s="15"/>
    </row>
    <row r="845">
      <c r="J845" s="15"/>
      <c r="V845" s="15"/>
      <c r="W845" s="15"/>
    </row>
    <row r="846">
      <c r="J846" s="15"/>
      <c r="V846" s="15"/>
      <c r="W846" s="15"/>
    </row>
    <row r="847">
      <c r="J847" s="15"/>
      <c r="V847" s="15"/>
      <c r="W847" s="15"/>
    </row>
    <row r="848">
      <c r="J848" s="15"/>
      <c r="V848" s="15"/>
      <c r="W848" s="15"/>
    </row>
    <row r="849">
      <c r="J849" s="15"/>
      <c r="V849" s="15"/>
      <c r="W849" s="15"/>
    </row>
    <row r="850">
      <c r="J850" s="15"/>
      <c r="V850" s="15"/>
      <c r="W850" s="15"/>
    </row>
    <row r="851">
      <c r="J851" s="15"/>
      <c r="V851" s="15"/>
      <c r="W851" s="15"/>
    </row>
    <row r="852">
      <c r="J852" s="15"/>
      <c r="V852" s="15"/>
      <c r="W852" s="15"/>
    </row>
    <row r="853">
      <c r="J853" s="15"/>
      <c r="V853" s="15"/>
      <c r="W853" s="15"/>
    </row>
    <row r="854">
      <c r="J854" s="15"/>
      <c r="V854" s="15"/>
      <c r="W854" s="15"/>
    </row>
    <row r="855">
      <c r="J855" s="15"/>
      <c r="V855" s="15"/>
      <c r="W855" s="15"/>
    </row>
    <row r="856">
      <c r="J856" s="15"/>
      <c r="V856" s="15"/>
      <c r="W856" s="15"/>
    </row>
    <row r="857">
      <c r="J857" s="15"/>
      <c r="V857" s="15"/>
      <c r="W857" s="15"/>
    </row>
    <row r="858">
      <c r="J858" s="15"/>
      <c r="V858" s="15"/>
      <c r="W858" s="15"/>
    </row>
    <row r="859">
      <c r="J859" s="15"/>
      <c r="V859" s="15"/>
      <c r="W859" s="15"/>
    </row>
    <row r="860">
      <c r="J860" s="15"/>
      <c r="V860" s="15"/>
      <c r="W860" s="15"/>
    </row>
    <row r="861">
      <c r="J861" s="15"/>
      <c r="V861" s="15"/>
      <c r="W861" s="15"/>
    </row>
    <row r="862">
      <c r="J862" s="15"/>
      <c r="V862" s="15"/>
      <c r="W862" s="15"/>
    </row>
    <row r="863">
      <c r="J863" s="15"/>
      <c r="V863" s="15"/>
      <c r="W863" s="15"/>
    </row>
    <row r="864">
      <c r="J864" s="15"/>
      <c r="V864" s="15"/>
      <c r="W864" s="15"/>
    </row>
    <row r="865">
      <c r="J865" s="15"/>
      <c r="V865" s="15"/>
      <c r="W865" s="15"/>
    </row>
    <row r="866">
      <c r="J866" s="15"/>
      <c r="V866" s="15"/>
      <c r="W866" s="15"/>
    </row>
    <row r="867">
      <c r="J867" s="15"/>
      <c r="V867" s="15"/>
      <c r="W867" s="15"/>
    </row>
    <row r="868">
      <c r="J868" s="15"/>
      <c r="V868" s="15"/>
      <c r="W868" s="15"/>
    </row>
    <row r="869">
      <c r="J869" s="15"/>
      <c r="V869" s="15"/>
      <c r="W869" s="15"/>
    </row>
    <row r="870">
      <c r="J870" s="15"/>
      <c r="V870" s="15"/>
      <c r="W870" s="15"/>
    </row>
    <row r="871">
      <c r="J871" s="15"/>
      <c r="V871" s="15"/>
      <c r="W871" s="15"/>
    </row>
    <row r="872">
      <c r="J872" s="15"/>
      <c r="V872" s="15"/>
      <c r="W872" s="15"/>
    </row>
    <row r="873">
      <c r="J873" s="15"/>
      <c r="V873" s="15"/>
      <c r="W873" s="15"/>
    </row>
    <row r="874">
      <c r="J874" s="15"/>
      <c r="V874" s="15"/>
      <c r="W874" s="15"/>
    </row>
    <row r="875">
      <c r="J875" s="15"/>
      <c r="V875" s="15"/>
      <c r="W875" s="15"/>
    </row>
    <row r="876">
      <c r="J876" s="15"/>
      <c r="V876" s="15"/>
      <c r="W876" s="15"/>
    </row>
    <row r="877">
      <c r="J877" s="15"/>
      <c r="V877" s="15"/>
      <c r="W877" s="15"/>
    </row>
    <row r="878">
      <c r="J878" s="15"/>
      <c r="V878" s="15"/>
      <c r="W878" s="15"/>
    </row>
    <row r="879">
      <c r="J879" s="15"/>
      <c r="V879" s="15"/>
      <c r="W879" s="15"/>
    </row>
    <row r="880">
      <c r="J880" s="15"/>
      <c r="V880" s="15"/>
      <c r="W880" s="15"/>
    </row>
    <row r="881">
      <c r="J881" s="15"/>
      <c r="V881" s="15"/>
      <c r="W881" s="15"/>
    </row>
    <row r="882">
      <c r="J882" s="15"/>
      <c r="V882" s="15"/>
      <c r="W882" s="15"/>
    </row>
    <row r="883">
      <c r="J883" s="15"/>
      <c r="V883" s="15"/>
      <c r="W883" s="15"/>
    </row>
    <row r="884">
      <c r="J884" s="15"/>
      <c r="V884" s="15"/>
      <c r="W884" s="15"/>
    </row>
    <row r="885">
      <c r="J885" s="15"/>
      <c r="V885" s="15"/>
      <c r="W885" s="15"/>
    </row>
    <row r="886">
      <c r="J886" s="15"/>
      <c r="V886" s="15"/>
      <c r="W886" s="15"/>
    </row>
    <row r="887">
      <c r="J887" s="15"/>
      <c r="V887" s="15"/>
      <c r="W887" s="15"/>
    </row>
    <row r="888">
      <c r="J888" s="15"/>
      <c r="V888" s="15"/>
      <c r="W888" s="15"/>
    </row>
    <row r="889">
      <c r="J889" s="15"/>
      <c r="V889" s="15"/>
      <c r="W889" s="15"/>
    </row>
    <row r="890">
      <c r="J890" s="15"/>
      <c r="V890" s="15"/>
      <c r="W890" s="15"/>
    </row>
    <row r="891">
      <c r="J891" s="15"/>
      <c r="V891" s="15"/>
      <c r="W891" s="15"/>
    </row>
    <row r="892">
      <c r="J892" s="15"/>
      <c r="V892" s="15"/>
      <c r="W892" s="15"/>
    </row>
    <row r="893">
      <c r="J893" s="15"/>
      <c r="V893" s="15"/>
      <c r="W893" s="15"/>
    </row>
    <row r="894">
      <c r="J894" s="15"/>
      <c r="V894" s="15"/>
      <c r="W894" s="15"/>
    </row>
    <row r="895">
      <c r="J895" s="15"/>
      <c r="V895" s="15"/>
      <c r="W895" s="15"/>
    </row>
    <row r="896">
      <c r="J896" s="15"/>
      <c r="V896" s="15"/>
      <c r="W896" s="15"/>
    </row>
    <row r="897">
      <c r="J897" s="15"/>
      <c r="V897" s="15"/>
      <c r="W897" s="15"/>
    </row>
    <row r="898">
      <c r="J898" s="15"/>
      <c r="V898" s="15"/>
      <c r="W898" s="15"/>
    </row>
    <row r="899">
      <c r="J899" s="15"/>
      <c r="V899" s="15"/>
      <c r="W899" s="15"/>
    </row>
    <row r="900">
      <c r="J900" s="15"/>
      <c r="V900" s="15"/>
      <c r="W900" s="15"/>
    </row>
    <row r="901">
      <c r="J901" s="15"/>
      <c r="V901" s="15"/>
      <c r="W901" s="15"/>
    </row>
    <row r="902">
      <c r="J902" s="15"/>
      <c r="V902" s="15"/>
      <c r="W902" s="15"/>
    </row>
    <row r="903">
      <c r="J903" s="15"/>
      <c r="V903" s="15"/>
      <c r="W903" s="15"/>
    </row>
    <row r="904">
      <c r="J904" s="15"/>
      <c r="V904" s="15"/>
      <c r="W904" s="15"/>
    </row>
    <row r="905">
      <c r="J905" s="15"/>
      <c r="V905" s="15"/>
      <c r="W905" s="15"/>
    </row>
    <row r="906">
      <c r="J906" s="15"/>
      <c r="V906" s="15"/>
      <c r="W906" s="15"/>
    </row>
    <row r="907">
      <c r="J907" s="15"/>
      <c r="V907" s="15"/>
      <c r="W907" s="15"/>
    </row>
    <row r="908">
      <c r="J908" s="15"/>
      <c r="V908" s="15"/>
      <c r="W908" s="15"/>
    </row>
    <row r="909">
      <c r="J909" s="15"/>
      <c r="V909" s="15"/>
      <c r="W909" s="15"/>
    </row>
    <row r="910">
      <c r="J910" s="15"/>
      <c r="V910" s="15"/>
      <c r="W910" s="15"/>
    </row>
    <row r="911">
      <c r="J911" s="15"/>
      <c r="V911" s="15"/>
      <c r="W911" s="15"/>
    </row>
    <row r="912">
      <c r="J912" s="15"/>
      <c r="V912" s="15"/>
      <c r="W912" s="15"/>
    </row>
    <row r="913">
      <c r="J913" s="15"/>
      <c r="V913" s="15"/>
      <c r="W913" s="15"/>
    </row>
    <row r="914">
      <c r="J914" s="15"/>
      <c r="V914" s="15"/>
      <c r="W914" s="15"/>
    </row>
    <row r="915">
      <c r="J915" s="15"/>
      <c r="V915" s="15"/>
      <c r="W915" s="15"/>
    </row>
    <row r="916">
      <c r="J916" s="15"/>
      <c r="V916" s="15"/>
      <c r="W916" s="15"/>
    </row>
    <row r="917">
      <c r="J917" s="15"/>
      <c r="V917" s="15"/>
      <c r="W917" s="15"/>
    </row>
    <row r="918">
      <c r="J918" s="15"/>
      <c r="V918" s="15"/>
      <c r="W918" s="15"/>
    </row>
    <row r="919">
      <c r="J919" s="15"/>
      <c r="V919" s="15"/>
      <c r="W919" s="15"/>
    </row>
    <row r="920">
      <c r="J920" s="15"/>
      <c r="V920" s="15"/>
      <c r="W920" s="15"/>
    </row>
    <row r="921">
      <c r="J921" s="15"/>
      <c r="V921" s="15"/>
      <c r="W921" s="15"/>
    </row>
    <row r="922">
      <c r="J922" s="15"/>
      <c r="V922" s="15"/>
      <c r="W922" s="15"/>
    </row>
    <row r="923">
      <c r="J923" s="15"/>
      <c r="V923" s="15"/>
      <c r="W923" s="15"/>
    </row>
    <row r="924">
      <c r="J924" s="15"/>
      <c r="V924" s="15"/>
      <c r="W924" s="15"/>
    </row>
    <row r="925">
      <c r="J925" s="15"/>
      <c r="V925" s="15"/>
      <c r="W925" s="15"/>
    </row>
    <row r="926">
      <c r="J926" s="15"/>
      <c r="V926" s="15"/>
      <c r="W926" s="15"/>
    </row>
    <row r="927">
      <c r="J927" s="15"/>
      <c r="V927" s="15"/>
      <c r="W927" s="15"/>
    </row>
    <row r="928">
      <c r="J928" s="15"/>
      <c r="V928" s="15"/>
      <c r="W928" s="15"/>
    </row>
    <row r="929">
      <c r="J929" s="15"/>
      <c r="V929" s="15"/>
      <c r="W929" s="15"/>
    </row>
    <row r="930">
      <c r="J930" s="15"/>
      <c r="V930" s="15"/>
      <c r="W930" s="15"/>
    </row>
    <row r="931">
      <c r="J931" s="15"/>
      <c r="V931" s="15"/>
      <c r="W931" s="15"/>
    </row>
    <row r="932">
      <c r="J932" s="15"/>
      <c r="V932" s="15"/>
      <c r="W932" s="15"/>
    </row>
    <row r="933">
      <c r="J933" s="15"/>
      <c r="V933" s="15"/>
      <c r="W933" s="15"/>
    </row>
    <row r="934">
      <c r="J934" s="15"/>
      <c r="V934" s="15"/>
      <c r="W934" s="15"/>
    </row>
    <row r="935">
      <c r="J935" s="15"/>
      <c r="V935" s="15"/>
      <c r="W935" s="15"/>
    </row>
    <row r="936">
      <c r="J936" s="15"/>
      <c r="V936" s="15"/>
      <c r="W936" s="15"/>
    </row>
    <row r="937">
      <c r="J937" s="15"/>
      <c r="V937" s="15"/>
      <c r="W937" s="15"/>
    </row>
    <row r="938">
      <c r="J938" s="15"/>
      <c r="V938" s="15"/>
      <c r="W938" s="15"/>
    </row>
    <row r="939">
      <c r="J939" s="15"/>
      <c r="V939" s="15"/>
      <c r="W939" s="15"/>
    </row>
    <row r="940">
      <c r="J940" s="15"/>
      <c r="V940" s="15"/>
      <c r="W940" s="15"/>
    </row>
    <row r="941">
      <c r="J941" s="15"/>
      <c r="V941" s="15"/>
      <c r="W941" s="15"/>
    </row>
    <row r="942">
      <c r="J942" s="15"/>
      <c r="V942" s="15"/>
      <c r="W942" s="15"/>
    </row>
    <row r="943">
      <c r="J943" s="15"/>
      <c r="V943" s="15"/>
      <c r="W943" s="15"/>
    </row>
    <row r="944">
      <c r="J944" s="15"/>
      <c r="V944" s="15"/>
      <c r="W944" s="15"/>
    </row>
    <row r="945">
      <c r="J945" s="15"/>
      <c r="V945" s="15"/>
      <c r="W945" s="15"/>
    </row>
    <row r="946">
      <c r="J946" s="15"/>
      <c r="V946" s="15"/>
      <c r="W946" s="15"/>
    </row>
    <row r="947">
      <c r="J947" s="15"/>
      <c r="V947" s="15"/>
      <c r="W947" s="15"/>
    </row>
    <row r="948">
      <c r="J948" s="15"/>
      <c r="V948" s="15"/>
      <c r="W948" s="15"/>
    </row>
    <row r="949">
      <c r="J949" s="15"/>
      <c r="V949" s="15"/>
      <c r="W949" s="15"/>
    </row>
    <row r="950">
      <c r="J950" s="15"/>
      <c r="V950" s="15"/>
      <c r="W950" s="15"/>
    </row>
    <row r="951">
      <c r="J951" s="15"/>
      <c r="V951" s="15"/>
      <c r="W951" s="15"/>
    </row>
    <row r="952">
      <c r="J952" s="15"/>
      <c r="V952" s="15"/>
      <c r="W952" s="15"/>
    </row>
    <row r="953">
      <c r="J953" s="15"/>
      <c r="V953" s="15"/>
      <c r="W953" s="15"/>
    </row>
    <row r="954">
      <c r="J954" s="15"/>
      <c r="V954" s="15"/>
      <c r="W954" s="15"/>
    </row>
    <row r="955">
      <c r="J955" s="15"/>
      <c r="V955" s="15"/>
      <c r="W955" s="15"/>
    </row>
    <row r="956">
      <c r="J956" s="15"/>
      <c r="V956" s="15"/>
      <c r="W956" s="15"/>
    </row>
    <row r="957">
      <c r="J957" s="15"/>
      <c r="V957" s="15"/>
      <c r="W957" s="15"/>
    </row>
    <row r="958">
      <c r="J958" s="15"/>
      <c r="V958" s="15"/>
      <c r="W958" s="15"/>
    </row>
    <row r="959">
      <c r="J959" s="15"/>
      <c r="V959" s="15"/>
      <c r="W959" s="15"/>
    </row>
    <row r="960">
      <c r="J960" s="15"/>
      <c r="V960" s="15"/>
      <c r="W960" s="15"/>
    </row>
    <row r="961">
      <c r="J961" s="15"/>
      <c r="V961" s="15"/>
      <c r="W961" s="15"/>
    </row>
    <row r="962">
      <c r="J962" s="15"/>
      <c r="V962" s="15"/>
      <c r="W962" s="15"/>
    </row>
    <row r="963">
      <c r="J963" s="15"/>
      <c r="V963" s="15"/>
      <c r="W963" s="15"/>
    </row>
    <row r="964">
      <c r="J964" s="15"/>
      <c r="V964" s="15"/>
      <c r="W964" s="15"/>
    </row>
    <row r="965">
      <c r="J965" s="15"/>
      <c r="V965" s="15"/>
      <c r="W965" s="15"/>
    </row>
    <row r="966">
      <c r="J966" s="15"/>
      <c r="V966" s="15"/>
      <c r="W966" s="15"/>
    </row>
    <row r="967">
      <c r="J967" s="15"/>
      <c r="V967" s="15"/>
      <c r="W967" s="15"/>
    </row>
    <row r="968">
      <c r="J968" s="15"/>
      <c r="V968" s="15"/>
      <c r="W968" s="15"/>
    </row>
    <row r="969">
      <c r="J969" s="15"/>
      <c r="V969" s="15"/>
      <c r="W969" s="15"/>
    </row>
    <row r="970">
      <c r="J970" s="15"/>
      <c r="V970" s="15"/>
      <c r="W970" s="15"/>
    </row>
    <row r="971">
      <c r="J971" s="15"/>
      <c r="V971" s="15"/>
      <c r="W971" s="15"/>
    </row>
    <row r="972">
      <c r="J972" s="15"/>
      <c r="V972" s="15"/>
      <c r="W972" s="15"/>
    </row>
    <row r="973">
      <c r="J973" s="15"/>
      <c r="V973" s="15"/>
      <c r="W973" s="15"/>
    </row>
    <row r="974">
      <c r="J974" s="15"/>
      <c r="V974" s="15"/>
      <c r="W974" s="15"/>
    </row>
    <row r="975">
      <c r="J975" s="15"/>
      <c r="V975" s="15"/>
      <c r="W975" s="15"/>
    </row>
    <row r="976">
      <c r="J976" s="15"/>
      <c r="V976" s="15"/>
      <c r="W976" s="15"/>
    </row>
    <row r="977">
      <c r="J977" s="15"/>
      <c r="V977" s="15"/>
      <c r="W977" s="15"/>
    </row>
    <row r="978">
      <c r="J978" s="15"/>
      <c r="V978" s="15"/>
      <c r="W978" s="15"/>
    </row>
    <row r="979">
      <c r="J979" s="15"/>
      <c r="V979" s="15"/>
      <c r="W979" s="15"/>
    </row>
    <row r="980">
      <c r="J980" s="15"/>
      <c r="V980" s="15"/>
      <c r="W980" s="15"/>
    </row>
    <row r="981">
      <c r="J981" s="15"/>
      <c r="V981" s="15"/>
      <c r="W981" s="15"/>
    </row>
    <row r="982">
      <c r="J982" s="15"/>
      <c r="V982" s="15"/>
      <c r="W982" s="15"/>
    </row>
    <row r="983">
      <c r="J983" s="15"/>
      <c r="V983" s="15"/>
      <c r="W983" s="15"/>
    </row>
    <row r="984">
      <c r="J984" s="15"/>
      <c r="V984" s="15"/>
      <c r="W984" s="15"/>
    </row>
    <row r="985">
      <c r="J985" s="15"/>
      <c r="V985" s="15"/>
      <c r="W985" s="15"/>
    </row>
    <row r="986">
      <c r="J986" s="15"/>
      <c r="V986" s="15"/>
      <c r="W986" s="15"/>
    </row>
    <row r="987">
      <c r="J987" s="15"/>
      <c r="V987" s="15"/>
      <c r="W987" s="15"/>
    </row>
    <row r="988">
      <c r="J988" s="15"/>
      <c r="V988" s="15"/>
      <c r="W988" s="15"/>
    </row>
    <row r="989">
      <c r="J989" s="15"/>
      <c r="V989" s="15"/>
      <c r="W989" s="15"/>
    </row>
    <row r="990">
      <c r="J990" s="15"/>
      <c r="V990" s="15"/>
      <c r="W990" s="15"/>
    </row>
    <row r="991">
      <c r="J991" s="15"/>
      <c r="V991" s="15"/>
      <c r="W991" s="15"/>
    </row>
    <row r="992">
      <c r="J992" s="15"/>
      <c r="V992" s="15"/>
      <c r="W992" s="15"/>
    </row>
    <row r="993">
      <c r="J993" s="15"/>
      <c r="V993" s="15"/>
      <c r="W993" s="15"/>
    </row>
    <row r="994">
      <c r="J994" s="15"/>
      <c r="V994" s="15"/>
      <c r="W994" s="15"/>
    </row>
    <row r="995">
      <c r="J995" s="15"/>
      <c r="V995" s="15"/>
      <c r="W995" s="15"/>
    </row>
    <row r="996">
      <c r="J996" s="15"/>
      <c r="V996" s="15"/>
      <c r="W996" s="15"/>
    </row>
    <row r="997">
      <c r="J997" s="15"/>
      <c r="V997" s="15"/>
      <c r="W997" s="15"/>
    </row>
    <row r="998">
      <c r="J998" s="15"/>
      <c r="V998" s="15"/>
      <c r="W998" s="15"/>
    </row>
  </sheetData>
  <autoFilter ref="$B$6:$J$37"/>
  <mergeCells count="4">
    <mergeCell ref="B2:C2"/>
    <mergeCell ref="L6:O6"/>
    <mergeCell ref="Q6:R6"/>
    <mergeCell ref="T6:X6"/>
  </mergeCells>
  <conditionalFormatting sqref="G7:G36">
    <cfRule type="colorScale" priority="1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C6:C34">
    <cfRule type="colorScale" priority="2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U8:U13">
    <cfRule type="cellIs" dxfId="0" priority="3" operator="lessThanOrEqual">
      <formula>MEDIAN($C$7:$C$34)</formula>
    </cfRule>
  </conditionalFormatting>
  <conditionalFormatting sqref="U8:U13">
    <cfRule type="cellIs" dxfId="1" priority="4" operator="greaterThan">
      <formula>MEDIAN($C$7:$C$34)</formula>
    </cfRule>
  </conditionalFormatting>
  <conditionalFormatting sqref="R9">
    <cfRule type="cellIs" dxfId="0" priority="5" operator="lessThanOrEqual">
      <formula>COUNT($B:$B) - (#REF! + #REF!)</formula>
    </cfRule>
  </conditionalFormatting>
  <conditionalFormatting sqref="R9">
    <cfRule type="cellIs" dxfId="1" priority="6" operator="greaterThan">
      <formula>COUNT($B:$B) - (#REF! + #REF!)</formula>
    </cfRule>
  </conditionalFormatting>
  <conditionalFormatting sqref="J7:J36">
    <cfRule type="cellIs" dxfId="0" priority="7" operator="equal">
      <formula>"Sim"</formula>
    </cfRule>
  </conditionalFormatting>
  <conditionalFormatting sqref="J7:J36">
    <cfRule type="cellIs" dxfId="1" priority="8" operator="equal">
      <formula>"Não"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13"/>
    <col customWidth="1" min="2" max="2" width="12.63"/>
    <col customWidth="1" min="3" max="3" width="10.88"/>
    <col customWidth="1" min="4" max="4" width="11.5"/>
    <col customWidth="1" min="5" max="6" width="8.38"/>
    <col customWidth="1" min="7" max="7" width="11.13"/>
    <col customWidth="1" min="8" max="9" width="10.0"/>
    <col customWidth="1" min="10" max="10" width="9.5"/>
    <col customWidth="1" min="11" max="11" width="1.5"/>
    <col customWidth="1" min="12" max="12" width="11.88"/>
    <col customWidth="1" min="13" max="13" width="10.25"/>
    <col customWidth="1" min="14" max="14" width="5.13"/>
    <col customWidth="1" min="15" max="15" width="10.13"/>
    <col customWidth="1" min="16" max="16" width="1.5"/>
    <col customWidth="1" min="17" max="17" width="14.38"/>
    <col customWidth="1" min="18" max="18" width="10.88"/>
    <col customWidth="1" min="19" max="19" width="1.38"/>
    <col customWidth="1" min="20" max="20" width="9.25"/>
    <col customWidth="1" min="21" max="21" width="9.13"/>
    <col customWidth="1" min="22" max="22" width="4.63"/>
    <col customWidth="1" min="23" max="23" width="8.38"/>
    <col customWidth="1" min="24" max="24" width="7.75"/>
    <col customWidth="1" min="25" max="25" width="2.63"/>
  </cols>
  <sheetData>
    <row r="1">
      <c r="J1" s="15"/>
      <c r="V1" s="15"/>
      <c r="W1" s="15"/>
    </row>
    <row r="2" ht="22.5" customHeight="1">
      <c r="B2" s="68" t="s">
        <v>40</v>
      </c>
      <c r="C2" s="27"/>
      <c r="J2" s="15"/>
      <c r="V2" s="15"/>
      <c r="W2" s="15"/>
    </row>
    <row r="3">
      <c r="B3" s="69" t="s">
        <v>41</v>
      </c>
      <c r="C3" s="70"/>
      <c r="J3" s="15"/>
      <c r="V3" s="15"/>
      <c r="W3" s="15"/>
    </row>
    <row r="4">
      <c r="B4" s="69" t="s">
        <v>42</v>
      </c>
      <c r="C4" s="71"/>
      <c r="J4" s="15"/>
      <c r="V4" s="15"/>
      <c r="W4" s="15"/>
    </row>
    <row r="5">
      <c r="C5" s="1"/>
      <c r="J5" s="15"/>
      <c r="V5" s="15"/>
      <c r="W5" s="15"/>
    </row>
    <row r="6" ht="35.25" customHeight="1">
      <c r="A6" s="72"/>
      <c r="B6" s="73" t="s">
        <v>25</v>
      </c>
      <c r="C6" s="73" t="s">
        <v>43</v>
      </c>
      <c r="D6" s="73" t="s">
        <v>44</v>
      </c>
      <c r="E6" s="73" t="s">
        <v>45</v>
      </c>
      <c r="F6" s="73" t="s">
        <v>46</v>
      </c>
      <c r="G6" s="73" t="s">
        <v>47</v>
      </c>
      <c r="H6" s="73" t="s">
        <v>48</v>
      </c>
      <c r="I6" s="73" t="s">
        <v>49</v>
      </c>
      <c r="J6" s="73" t="s">
        <v>50</v>
      </c>
      <c r="L6" s="74" t="s">
        <v>51</v>
      </c>
      <c r="M6" s="26"/>
      <c r="N6" s="26"/>
      <c r="O6" s="27"/>
      <c r="Q6" s="74" t="s">
        <v>52</v>
      </c>
      <c r="R6" s="27"/>
      <c r="S6" s="72"/>
      <c r="T6" s="72"/>
    </row>
    <row r="7">
      <c r="A7" s="39"/>
      <c r="B7" s="39">
        <v>46266.0</v>
      </c>
      <c r="C7" s="75"/>
      <c r="D7" s="75"/>
      <c r="E7" s="75"/>
      <c r="F7" s="75"/>
      <c r="G7" s="56" t="str">
        <f t="shared" ref="G7:G36" si="1">IF(SUM(D7:F7) = 0, , (SUM(D7:F7)))</f>
        <v/>
      </c>
      <c r="H7" s="76" t="str">
        <f t="shared" ref="H7:H34" si="2">IFERROR(G7/C7, )</f>
        <v/>
      </c>
      <c r="I7" s="77">
        <f t="shared" ref="I7:I36" si="3">IFERROR(H7/25 * ($C$3/10), )</f>
        <v>0</v>
      </c>
      <c r="J7" s="41" t="str">
        <f t="shared" ref="J7:J36" si="4">IF(B7 &gt; TODAY(), "", IF(G7 = "", "Não", "Sim"))
</f>
        <v/>
      </c>
      <c r="L7" s="78"/>
      <c r="M7" s="79" t="s">
        <v>53</v>
      </c>
      <c r="N7" s="80" t="s">
        <v>54</v>
      </c>
      <c r="O7" s="81" t="s">
        <v>55</v>
      </c>
      <c r="Q7" s="82"/>
      <c r="R7" s="69" t="s">
        <v>56</v>
      </c>
      <c r="T7" s="2"/>
      <c r="U7" s="2"/>
      <c r="V7" s="2"/>
      <c r="W7" s="2"/>
      <c r="X7" s="83"/>
      <c r="Y7" s="2"/>
    </row>
    <row r="8">
      <c r="A8" s="39"/>
      <c r="B8" s="39">
        <v>46267.0</v>
      </c>
      <c r="C8" s="75"/>
      <c r="D8" s="75"/>
      <c r="E8" s="75"/>
      <c r="F8" s="75"/>
      <c r="G8" s="56" t="str">
        <f t="shared" si="1"/>
        <v/>
      </c>
      <c r="H8" s="76" t="str">
        <f t="shared" si="2"/>
        <v/>
      </c>
      <c r="I8" s="77">
        <f t="shared" si="3"/>
        <v>0</v>
      </c>
      <c r="J8" s="41" t="str">
        <f t="shared" si="4"/>
        <v/>
      </c>
      <c r="L8" s="84" t="s">
        <v>0</v>
      </c>
      <c r="M8" s="85" t="str">
        <f> IFERROR(MEDIAN(C7:C998), )</f>
        <v/>
      </c>
      <c r="N8" s="86"/>
      <c r="O8" s="87"/>
      <c r="P8" s="88"/>
      <c r="Q8" s="89" t="s">
        <v>57</v>
      </c>
      <c r="R8" s="17">
        <f>Count(B:B)</f>
        <v>30</v>
      </c>
      <c r="T8" s="90"/>
      <c r="U8" s="91"/>
      <c r="V8" s="2"/>
      <c r="W8" s="91"/>
      <c r="X8" s="92"/>
      <c r="Y8" s="56"/>
    </row>
    <row r="9">
      <c r="A9" s="39"/>
      <c r="B9" s="39">
        <v>46268.0</v>
      </c>
      <c r="C9" s="75"/>
      <c r="D9" s="75"/>
      <c r="E9" s="75"/>
      <c r="F9" s="75"/>
      <c r="G9" s="56" t="str">
        <f t="shared" si="1"/>
        <v/>
      </c>
      <c r="H9" s="76" t="str">
        <f t="shared" si="2"/>
        <v/>
      </c>
      <c r="I9" s="77">
        <f t="shared" si="3"/>
        <v>0</v>
      </c>
      <c r="J9" s="41" t="str">
        <f t="shared" si="4"/>
        <v/>
      </c>
      <c r="L9" s="89" t="s">
        <v>2</v>
      </c>
      <c r="M9" s="56" t="str">
        <f t="shared" ref="M9:N9" si="5"> IFERROR(MEDIAN(G7:G998), )</f>
        <v/>
      </c>
      <c r="N9" s="56" t="str">
        <f t="shared" si="5"/>
        <v/>
      </c>
      <c r="O9" s="93">
        <f> IFERROR($N$9 * ($C$3/10)  / 25, )</f>
        <v>0</v>
      </c>
      <c r="P9" s="88"/>
      <c r="Q9" s="89" t="s">
        <v>58</v>
      </c>
      <c r="R9" s="17">
        <f>COUNTIF(J:J, "=Sim")</f>
        <v>0</v>
      </c>
      <c r="T9" s="90"/>
      <c r="U9" s="91"/>
      <c r="V9" s="2"/>
      <c r="W9" s="91"/>
      <c r="X9" s="92"/>
      <c r="Y9" s="56"/>
    </row>
    <row r="10">
      <c r="A10" s="39"/>
      <c r="B10" s="39">
        <v>46269.0</v>
      </c>
      <c r="C10" s="75"/>
      <c r="D10" s="75"/>
      <c r="E10" s="75"/>
      <c r="F10" s="75"/>
      <c r="G10" s="56" t="str">
        <f t="shared" si="1"/>
        <v/>
      </c>
      <c r="H10" s="76" t="str">
        <f t="shared" si="2"/>
        <v/>
      </c>
      <c r="I10" s="77">
        <f t="shared" si="3"/>
        <v>0</v>
      </c>
      <c r="J10" s="41" t="str">
        <f t="shared" si="4"/>
        <v/>
      </c>
      <c r="L10" s="89" t="s">
        <v>59</v>
      </c>
      <c r="M10" s="94">
        <f>IFERROR(SUM(G7:G998), )</f>
        <v>0</v>
      </c>
      <c r="N10" s="95" t="str">
        <f> IFERROR($M$10 / $M$8, )</f>
        <v/>
      </c>
      <c r="O10" s="93">
        <f> IFERROR($N$10 * ($C$3/10)  / 25, )</f>
        <v>0</v>
      </c>
      <c r="P10" s="88"/>
      <c r="Q10" s="89" t="s">
        <v>60</v>
      </c>
      <c r="R10" s="96" t="str">
        <f>IFERROR(M12/M9, )</f>
        <v/>
      </c>
      <c r="T10" s="90"/>
      <c r="U10" s="91"/>
      <c r="V10" s="2"/>
      <c r="W10" s="91"/>
      <c r="X10" s="92"/>
      <c r="Y10" s="56"/>
    </row>
    <row r="11">
      <c r="A11" s="39"/>
      <c r="B11" s="39">
        <v>46270.0</v>
      </c>
      <c r="C11" s="75"/>
      <c r="D11" s="75"/>
      <c r="E11" s="75"/>
      <c r="F11" s="75"/>
      <c r="G11" s="56" t="str">
        <f t="shared" si="1"/>
        <v/>
      </c>
      <c r="H11" s="76" t="str">
        <f t="shared" si="2"/>
        <v/>
      </c>
      <c r="I11" s="77">
        <f t="shared" si="3"/>
        <v>0</v>
      </c>
      <c r="J11" s="41" t="str">
        <f t="shared" si="4"/>
        <v/>
      </c>
      <c r="L11" s="89" t="s">
        <v>61</v>
      </c>
      <c r="M11" s="75">
        <f> IFERROR($N$11 * $M$8, )</f>
        <v>0</v>
      </c>
      <c r="N11" s="98" t="str">
        <f> IFERROR($C$4, )</f>
        <v/>
      </c>
      <c r="O11" s="93">
        <f> IFERROR($N$11 * ($C$3/10)  / 25,"")</f>
        <v>0</v>
      </c>
      <c r="Q11" s="89" t="s">
        <v>62</v>
      </c>
      <c r="R11" s="17">
        <f>COUNTIF($J:$J, "=Não")</f>
        <v>0</v>
      </c>
      <c r="T11" s="90"/>
      <c r="U11" s="91"/>
      <c r="V11" s="2"/>
      <c r="W11" s="91"/>
      <c r="X11" s="92"/>
      <c r="Y11" s="56"/>
    </row>
    <row r="12">
      <c r="A12" s="39"/>
      <c r="B12" s="39">
        <v>46271.0</v>
      </c>
      <c r="C12" s="75"/>
      <c r="D12" s="75"/>
      <c r="E12" s="56"/>
      <c r="F12" s="75"/>
      <c r="G12" s="56" t="str">
        <f t="shared" si="1"/>
        <v/>
      </c>
      <c r="H12" s="76" t="str">
        <f t="shared" si="2"/>
        <v/>
      </c>
      <c r="I12" s="77">
        <f t="shared" si="3"/>
        <v>0</v>
      </c>
      <c r="J12" s="41" t="str">
        <f t="shared" si="4"/>
        <v/>
      </c>
      <c r="L12" s="89" t="s">
        <v>63</v>
      </c>
      <c r="M12" s="56">
        <f> IFERROR($M$11 - $M$10, )</f>
        <v>0</v>
      </c>
      <c r="N12" s="56">
        <f>N11 - N10</f>
        <v>0</v>
      </c>
      <c r="O12" s="93">
        <f> IFERROR($N$12 * ($C$3/10)  / 25, )</f>
        <v>0</v>
      </c>
      <c r="Q12" s="89" t="s">
        <v>64</v>
      </c>
      <c r="R12" s="96">
        <f>R8 - R9 - R10</f>
        <v>30</v>
      </c>
      <c r="T12" s="90"/>
      <c r="U12" s="91"/>
      <c r="V12" s="2"/>
      <c r="W12" s="91"/>
      <c r="X12" s="92"/>
      <c r="Y12" s="56"/>
    </row>
    <row r="13">
      <c r="A13" s="39"/>
      <c r="B13" s="39">
        <v>46272.0</v>
      </c>
      <c r="C13" s="75"/>
      <c r="D13" s="75"/>
      <c r="E13" s="75"/>
      <c r="F13" s="75"/>
      <c r="G13" s="56" t="str">
        <f t="shared" si="1"/>
        <v/>
      </c>
      <c r="H13" s="76" t="str">
        <f t="shared" si="2"/>
        <v/>
      </c>
      <c r="I13" s="77">
        <f t="shared" si="3"/>
        <v>0</v>
      </c>
      <c r="J13" s="41" t="str">
        <f t="shared" si="4"/>
        <v/>
      </c>
      <c r="L13" s="99"/>
      <c r="M13" s="100"/>
      <c r="N13" s="100"/>
      <c r="O13" s="101"/>
      <c r="Q13" s="99" t="s">
        <v>7</v>
      </c>
      <c r="R13" s="23" t="str">
        <f>IF(M10 &gt;= M11, "🔵 Concluído", IF((R8-R9)-R10-R11&gt;=2, "🟢 Seguro", IF((R8-R9)-R10-R11&gt;=0, "🟡 Atenção", "🔴 Risco")))</f>
        <v>🔵 Concluído</v>
      </c>
      <c r="T13" s="90"/>
      <c r="U13" s="91"/>
      <c r="V13" s="2"/>
      <c r="W13" s="91"/>
      <c r="X13" s="92"/>
      <c r="Y13" s="56"/>
    </row>
    <row r="14">
      <c r="A14" s="39"/>
      <c r="B14" s="39">
        <v>46273.0</v>
      </c>
      <c r="C14" s="75"/>
      <c r="D14" s="75"/>
      <c r="E14" s="75"/>
      <c r="F14" s="75"/>
      <c r="G14" s="56" t="str">
        <f t="shared" si="1"/>
        <v/>
      </c>
      <c r="H14" s="76" t="str">
        <f t="shared" si="2"/>
        <v/>
      </c>
      <c r="I14" s="77">
        <f t="shared" si="3"/>
        <v>0</v>
      </c>
      <c r="J14" s="41" t="str">
        <f t="shared" si="4"/>
        <v/>
      </c>
      <c r="L14" s="1"/>
      <c r="M14" s="1"/>
      <c r="N14" s="1"/>
      <c r="O14" s="1"/>
      <c r="Q14" s="1"/>
      <c r="R14" s="15"/>
      <c r="V14" s="15"/>
      <c r="W14" s="15"/>
      <c r="Y14" s="56"/>
    </row>
    <row r="15">
      <c r="A15" s="39"/>
      <c r="B15" s="39">
        <v>46274.0</v>
      </c>
      <c r="C15" s="75"/>
      <c r="D15" s="75"/>
      <c r="E15" s="75"/>
      <c r="F15" s="75"/>
      <c r="G15" s="56" t="str">
        <f t="shared" si="1"/>
        <v/>
      </c>
      <c r="H15" s="76" t="str">
        <f t="shared" si="2"/>
        <v/>
      </c>
      <c r="I15" s="77">
        <f t="shared" si="3"/>
        <v>0</v>
      </c>
      <c r="J15" s="41" t="str">
        <f t="shared" si="4"/>
        <v/>
      </c>
      <c r="L15" s="1"/>
      <c r="V15" s="15"/>
      <c r="W15" s="15"/>
    </row>
    <row r="16">
      <c r="A16" s="39"/>
      <c r="B16" s="39">
        <v>46275.0</v>
      </c>
      <c r="C16" s="75"/>
      <c r="D16" s="75"/>
      <c r="E16" s="75"/>
      <c r="F16" s="75"/>
      <c r="G16" s="56" t="str">
        <f t="shared" si="1"/>
        <v/>
      </c>
      <c r="H16" s="76" t="str">
        <f t="shared" si="2"/>
        <v/>
      </c>
      <c r="I16" s="77">
        <f t="shared" si="3"/>
        <v>0</v>
      </c>
      <c r="J16" s="41" t="str">
        <f t="shared" si="4"/>
        <v/>
      </c>
      <c r="N16" s="102"/>
      <c r="V16" s="15"/>
      <c r="W16" s="15"/>
    </row>
    <row r="17">
      <c r="A17" s="39"/>
      <c r="B17" s="39">
        <v>46276.0</v>
      </c>
      <c r="C17" s="75"/>
      <c r="D17" s="75"/>
      <c r="E17" s="75"/>
      <c r="F17" s="75"/>
      <c r="G17" s="56" t="str">
        <f t="shared" si="1"/>
        <v/>
      </c>
      <c r="H17" s="76" t="str">
        <f t="shared" si="2"/>
        <v/>
      </c>
      <c r="I17" s="77">
        <f t="shared" si="3"/>
        <v>0</v>
      </c>
      <c r="J17" s="41" t="str">
        <f t="shared" si="4"/>
        <v/>
      </c>
      <c r="V17" s="15"/>
      <c r="W17" s="15"/>
    </row>
    <row r="18">
      <c r="A18" s="39"/>
      <c r="B18" s="39">
        <v>46277.0</v>
      </c>
      <c r="C18" s="56"/>
      <c r="D18" s="56"/>
      <c r="E18" s="56"/>
      <c r="F18" s="56"/>
      <c r="G18" s="56" t="str">
        <f t="shared" si="1"/>
        <v/>
      </c>
      <c r="H18" s="76" t="str">
        <f t="shared" si="2"/>
        <v/>
      </c>
      <c r="I18" s="77">
        <f t="shared" si="3"/>
        <v>0</v>
      </c>
      <c r="J18" s="41" t="str">
        <f t="shared" si="4"/>
        <v/>
      </c>
      <c r="V18" s="15"/>
      <c r="W18" s="15"/>
    </row>
    <row r="19">
      <c r="A19" s="39"/>
      <c r="B19" s="39">
        <v>46278.0</v>
      </c>
      <c r="C19" s="56"/>
      <c r="D19" s="56"/>
      <c r="E19" s="56"/>
      <c r="F19" s="56"/>
      <c r="G19" s="56" t="str">
        <f t="shared" si="1"/>
        <v/>
      </c>
      <c r="H19" s="76" t="str">
        <f t="shared" si="2"/>
        <v/>
      </c>
      <c r="I19" s="77">
        <f t="shared" si="3"/>
        <v>0</v>
      </c>
      <c r="J19" s="41" t="str">
        <f t="shared" si="4"/>
        <v/>
      </c>
      <c r="V19" s="15"/>
      <c r="W19" s="15"/>
    </row>
    <row r="20">
      <c r="A20" s="39"/>
      <c r="B20" s="39">
        <v>46279.0</v>
      </c>
      <c r="C20" s="56"/>
      <c r="D20" s="56"/>
      <c r="E20" s="56"/>
      <c r="F20" s="56"/>
      <c r="G20" s="56" t="str">
        <f t="shared" si="1"/>
        <v/>
      </c>
      <c r="H20" s="76" t="str">
        <f t="shared" si="2"/>
        <v/>
      </c>
      <c r="I20" s="77">
        <f t="shared" si="3"/>
        <v>0</v>
      </c>
      <c r="J20" s="41" t="str">
        <f t="shared" si="4"/>
        <v/>
      </c>
      <c r="V20" s="15"/>
      <c r="W20" s="15"/>
    </row>
    <row r="21">
      <c r="A21" s="39"/>
      <c r="B21" s="39">
        <v>46280.0</v>
      </c>
      <c r="C21" s="56"/>
      <c r="D21" s="56"/>
      <c r="E21" s="56"/>
      <c r="F21" s="56"/>
      <c r="G21" s="56" t="str">
        <f t="shared" si="1"/>
        <v/>
      </c>
      <c r="H21" s="76" t="str">
        <f t="shared" si="2"/>
        <v/>
      </c>
      <c r="I21" s="77">
        <f t="shared" si="3"/>
        <v>0</v>
      </c>
      <c r="J21" s="41" t="str">
        <f t="shared" si="4"/>
        <v/>
      </c>
      <c r="V21" s="15"/>
      <c r="W21" s="15"/>
    </row>
    <row r="22">
      <c r="A22" s="39"/>
      <c r="B22" s="39">
        <v>46281.0</v>
      </c>
      <c r="C22" s="56"/>
      <c r="D22" s="56"/>
      <c r="E22" s="56"/>
      <c r="F22" s="56"/>
      <c r="G22" s="56" t="str">
        <f t="shared" si="1"/>
        <v/>
      </c>
      <c r="H22" s="76" t="str">
        <f t="shared" si="2"/>
        <v/>
      </c>
      <c r="I22" s="77">
        <f t="shared" si="3"/>
        <v>0</v>
      </c>
      <c r="J22" s="41" t="str">
        <f t="shared" si="4"/>
        <v/>
      </c>
      <c r="V22" s="15"/>
      <c r="W22" s="15"/>
    </row>
    <row r="23">
      <c r="A23" s="39"/>
      <c r="B23" s="39">
        <v>46282.0</v>
      </c>
      <c r="C23" s="56"/>
      <c r="D23" s="56"/>
      <c r="E23" s="56"/>
      <c r="F23" s="56"/>
      <c r="G23" s="56" t="str">
        <f t="shared" si="1"/>
        <v/>
      </c>
      <c r="H23" s="76" t="str">
        <f t="shared" si="2"/>
        <v/>
      </c>
      <c r="I23" s="77">
        <f t="shared" si="3"/>
        <v>0</v>
      </c>
      <c r="J23" s="41" t="str">
        <f t="shared" si="4"/>
        <v/>
      </c>
      <c r="V23" s="15"/>
      <c r="W23" s="15"/>
    </row>
    <row r="24">
      <c r="A24" s="39"/>
      <c r="B24" s="39">
        <v>46283.0</v>
      </c>
      <c r="C24" s="56"/>
      <c r="D24" s="56"/>
      <c r="E24" s="56"/>
      <c r="F24" s="56"/>
      <c r="G24" s="56" t="str">
        <f t="shared" si="1"/>
        <v/>
      </c>
      <c r="H24" s="76" t="str">
        <f t="shared" si="2"/>
        <v/>
      </c>
      <c r="I24" s="77">
        <f t="shared" si="3"/>
        <v>0</v>
      </c>
      <c r="J24" s="41" t="str">
        <f t="shared" si="4"/>
        <v/>
      </c>
      <c r="N24" s="1"/>
      <c r="V24" s="15"/>
      <c r="W24" s="15"/>
    </row>
    <row r="25">
      <c r="A25" s="39"/>
      <c r="B25" s="39">
        <v>46284.0</v>
      </c>
      <c r="C25" s="75"/>
      <c r="D25" s="56"/>
      <c r="E25" s="75"/>
      <c r="F25" s="75"/>
      <c r="G25" s="56" t="str">
        <f t="shared" si="1"/>
        <v/>
      </c>
      <c r="H25" s="76" t="str">
        <f t="shared" si="2"/>
        <v/>
      </c>
      <c r="I25" s="77">
        <f t="shared" si="3"/>
        <v>0</v>
      </c>
      <c r="J25" s="41" t="str">
        <f t="shared" si="4"/>
        <v/>
      </c>
      <c r="V25" s="15"/>
      <c r="W25" s="15"/>
    </row>
    <row r="26">
      <c r="A26" s="39"/>
      <c r="B26" s="39">
        <v>46285.0</v>
      </c>
      <c r="C26" s="75"/>
      <c r="D26" s="56"/>
      <c r="E26" s="56"/>
      <c r="F26" s="75"/>
      <c r="G26" s="56" t="str">
        <f t="shared" si="1"/>
        <v/>
      </c>
      <c r="H26" s="76" t="str">
        <f t="shared" si="2"/>
        <v/>
      </c>
      <c r="I26" s="77">
        <f t="shared" si="3"/>
        <v>0</v>
      </c>
      <c r="J26" s="41" t="str">
        <f t="shared" si="4"/>
        <v/>
      </c>
      <c r="V26" s="15"/>
      <c r="W26" s="15"/>
    </row>
    <row r="27">
      <c r="A27" s="39"/>
      <c r="B27" s="39">
        <v>46286.0</v>
      </c>
      <c r="C27" s="75"/>
      <c r="D27" s="75"/>
      <c r="E27" s="75"/>
      <c r="F27" s="75"/>
      <c r="G27" s="56" t="str">
        <f t="shared" si="1"/>
        <v/>
      </c>
      <c r="H27" s="76" t="str">
        <f t="shared" si="2"/>
        <v/>
      </c>
      <c r="I27" s="77">
        <f t="shared" si="3"/>
        <v>0</v>
      </c>
      <c r="J27" s="41" t="str">
        <f t="shared" si="4"/>
        <v/>
      </c>
      <c r="V27" s="15"/>
      <c r="W27" s="15"/>
    </row>
    <row r="28">
      <c r="A28" s="39"/>
      <c r="B28" s="39">
        <v>46287.0</v>
      </c>
      <c r="C28" s="75"/>
      <c r="D28" s="56"/>
      <c r="E28" s="56"/>
      <c r="F28" s="75"/>
      <c r="G28" s="56" t="str">
        <f t="shared" si="1"/>
        <v/>
      </c>
      <c r="H28" s="104" t="str">
        <f t="shared" si="2"/>
        <v/>
      </c>
      <c r="I28" s="77">
        <f t="shared" si="3"/>
        <v>0</v>
      </c>
      <c r="J28" s="41" t="str">
        <f t="shared" si="4"/>
        <v/>
      </c>
      <c r="N28" s="1"/>
      <c r="V28" s="15"/>
      <c r="W28" s="15"/>
    </row>
    <row r="29">
      <c r="A29" s="39"/>
      <c r="B29" s="39">
        <v>46288.0</v>
      </c>
      <c r="C29" s="75"/>
      <c r="D29" s="56"/>
      <c r="E29" s="56"/>
      <c r="F29" s="75"/>
      <c r="G29" s="56" t="str">
        <f t="shared" si="1"/>
        <v/>
      </c>
      <c r="H29" s="104" t="str">
        <f t="shared" si="2"/>
        <v/>
      </c>
      <c r="I29" s="77">
        <f t="shared" si="3"/>
        <v>0</v>
      </c>
      <c r="J29" s="41" t="str">
        <f t="shared" si="4"/>
        <v/>
      </c>
      <c r="V29" s="15"/>
      <c r="W29" s="15"/>
    </row>
    <row r="30">
      <c r="A30" s="39"/>
      <c r="B30" s="39">
        <v>46289.0</v>
      </c>
      <c r="C30" s="56"/>
      <c r="D30" s="56"/>
      <c r="E30" s="56"/>
      <c r="F30" s="56"/>
      <c r="G30" s="56" t="str">
        <f t="shared" si="1"/>
        <v/>
      </c>
      <c r="H30" s="104" t="str">
        <f t="shared" si="2"/>
        <v/>
      </c>
      <c r="I30" s="77">
        <f t="shared" si="3"/>
        <v>0</v>
      </c>
      <c r="J30" s="41" t="str">
        <f t="shared" si="4"/>
        <v/>
      </c>
      <c r="V30" s="15"/>
      <c r="W30" s="15"/>
    </row>
    <row r="31">
      <c r="A31" s="39"/>
      <c r="B31" s="39">
        <v>46290.0</v>
      </c>
      <c r="C31" s="56"/>
      <c r="D31" s="56"/>
      <c r="E31" s="56"/>
      <c r="F31" s="56"/>
      <c r="G31" s="56" t="str">
        <f t="shared" si="1"/>
        <v/>
      </c>
      <c r="H31" s="104" t="str">
        <f t="shared" si="2"/>
        <v/>
      </c>
      <c r="I31" s="77">
        <f t="shared" si="3"/>
        <v>0</v>
      </c>
      <c r="J31" s="41" t="str">
        <f t="shared" si="4"/>
        <v/>
      </c>
      <c r="V31" s="15"/>
      <c r="W31" s="15"/>
    </row>
    <row r="32">
      <c r="A32" s="39"/>
      <c r="B32" s="39">
        <v>46291.0</v>
      </c>
      <c r="C32" s="56"/>
      <c r="D32" s="56"/>
      <c r="E32" s="56"/>
      <c r="F32" s="56"/>
      <c r="G32" s="56" t="str">
        <f t="shared" si="1"/>
        <v/>
      </c>
      <c r="H32" s="104" t="str">
        <f t="shared" si="2"/>
        <v/>
      </c>
      <c r="I32" s="77">
        <f t="shared" si="3"/>
        <v>0</v>
      </c>
      <c r="J32" s="41" t="str">
        <f t="shared" si="4"/>
        <v/>
      </c>
      <c r="V32" s="15"/>
      <c r="W32" s="15"/>
    </row>
    <row r="33">
      <c r="A33" s="39"/>
      <c r="B33" s="39">
        <v>46292.0</v>
      </c>
      <c r="C33" s="56"/>
      <c r="D33" s="56"/>
      <c r="E33" s="56"/>
      <c r="F33" s="56"/>
      <c r="G33" s="56" t="str">
        <f t="shared" si="1"/>
        <v/>
      </c>
      <c r="H33" s="104" t="str">
        <f t="shared" si="2"/>
        <v/>
      </c>
      <c r="I33" s="77">
        <f t="shared" si="3"/>
        <v>0</v>
      </c>
      <c r="J33" s="41" t="str">
        <f t="shared" si="4"/>
        <v/>
      </c>
      <c r="V33" s="15"/>
      <c r="W33" s="15"/>
    </row>
    <row r="34">
      <c r="A34" s="39"/>
      <c r="B34" s="39">
        <v>46293.0</v>
      </c>
      <c r="C34" s="56"/>
      <c r="D34" s="56"/>
      <c r="E34" s="56"/>
      <c r="F34" s="56"/>
      <c r="G34" s="56" t="str">
        <f t="shared" si="1"/>
        <v/>
      </c>
      <c r="H34" s="104" t="str">
        <f t="shared" si="2"/>
        <v/>
      </c>
      <c r="I34" s="77">
        <f t="shared" si="3"/>
        <v>0</v>
      </c>
      <c r="J34" s="41" t="str">
        <f t="shared" si="4"/>
        <v/>
      </c>
      <c r="V34" s="15"/>
      <c r="W34" s="15"/>
    </row>
    <row r="35">
      <c r="B35" s="39">
        <v>46294.0</v>
      </c>
      <c r="G35" s="56" t="str">
        <f t="shared" si="1"/>
        <v/>
      </c>
      <c r="I35" s="77">
        <f t="shared" si="3"/>
        <v>0</v>
      </c>
      <c r="J35" s="41" t="str">
        <f t="shared" si="4"/>
        <v/>
      </c>
      <c r="V35" s="15"/>
      <c r="W35" s="15"/>
    </row>
    <row r="36">
      <c r="B36" s="39">
        <v>46295.0</v>
      </c>
      <c r="G36" s="56" t="str">
        <f t="shared" si="1"/>
        <v/>
      </c>
      <c r="H36" s="104" t="str">
        <f>IFERROR(G35/C35, )</f>
        <v/>
      </c>
      <c r="I36" s="77">
        <f t="shared" si="3"/>
        <v>0</v>
      </c>
      <c r="J36" s="41" t="str">
        <f t="shared" si="4"/>
        <v/>
      </c>
      <c r="V36" s="15"/>
      <c r="W36" s="15"/>
    </row>
    <row r="37">
      <c r="B37" s="39"/>
      <c r="J37" s="15"/>
      <c r="V37" s="15"/>
      <c r="W37" s="15"/>
    </row>
    <row r="38">
      <c r="J38" s="15"/>
      <c r="V38" s="15"/>
      <c r="W38" s="15"/>
    </row>
    <row r="39">
      <c r="J39" s="15"/>
      <c r="V39" s="15"/>
      <c r="W39" s="15"/>
    </row>
    <row r="40">
      <c r="J40" s="15"/>
      <c r="V40" s="15"/>
      <c r="W40" s="15"/>
    </row>
    <row r="41">
      <c r="J41" s="15"/>
      <c r="V41" s="15"/>
      <c r="W41" s="15"/>
    </row>
    <row r="42">
      <c r="J42" s="15"/>
      <c r="V42" s="15"/>
      <c r="W42" s="15"/>
    </row>
    <row r="43">
      <c r="J43" s="15"/>
      <c r="V43" s="15"/>
      <c r="W43" s="15"/>
    </row>
    <row r="44">
      <c r="J44" s="15"/>
      <c r="V44" s="15"/>
      <c r="W44" s="15"/>
    </row>
    <row r="45">
      <c r="J45" s="15"/>
      <c r="V45" s="15"/>
      <c r="W45" s="15"/>
    </row>
    <row r="46">
      <c r="J46" s="15"/>
      <c r="V46" s="15"/>
      <c r="W46" s="15"/>
    </row>
    <row r="47">
      <c r="J47" s="15"/>
      <c r="V47" s="15"/>
      <c r="W47" s="15"/>
    </row>
    <row r="48">
      <c r="J48" s="15"/>
      <c r="V48" s="15"/>
      <c r="W48" s="15"/>
    </row>
    <row r="49">
      <c r="J49" s="15"/>
      <c r="V49" s="15"/>
      <c r="W49" s="15"/>
    </row>
    <row r="50">
      <c r="J50" s="15"/>
      <c r="V50" s="15"/>
      <c r="W50" s="15"/>
    </row>
    <row r="51">
      <c r="J51" s="15"/>
      <c r="V51" s="15"/>
      <c r="W51" s="15"/>
    </row>
    <row r="52">
      <c r="J52" s="15"/>
      <c r="V52" s="15"/>
      <c r="W52" s="15"/>
    </row>
    <row r="53">
      <c r="J53" s="15"/>
      <c r="V53" s="15"/>
      <c r="W53" s="15"/>
    </row>
    <row r="54">
      <c r="J54" s="15"/>
      <c r="V54" s="15"/>
      <c r="W54" s="15"/>
    </row>
    <row r="55">
      <c r="J55" s="15"/>
      <c r="V55" s="15"/>
      <c r="W55" s="15"/>
    </row>
    <row r="56">
      <c r="J56" s="15"/>
      <c r="V56" s="15"/>
      <c r="W56" s="15"/>
    </row>
    <row r="57">
      <c r="J57" s="15"/>
      <c r="V57" s="15"/>
      <c r="W57" s="15"/>
    </row>
    <row r="58">
      <c r="J58" s="15"/>
      <c r="V58" s="15"/>
      <c r="W58" s="15"/>
    </row>
    <row r="59">
      <c r="J59" s="15"/>
      <c r="V59" s="15"/>
      <c r="W59" s="15"/>
    </row>
    <row r="60">
      <c r="J60" s="15"/>
      <c r="V60" s="15"/>
      <c r="W60" s="15"/>
    </row>
    <row r="61">
      <c r="J61" s="15"/>
      <c r="V61" s="15"/>
      <c r="W61" s="15"/>
    </row>
    <row r="62">
      <c r="J62" s="15"/>
      <c r="V62" s="15"/>
      <c r="W62" s="15"/>
    </row>
    <row r="63">
      <c r="J63" s="15"/>
      <c r="V63" s="15"/>
      <c r="W63" s="15"/>
    </row>
    <row r="64">
      <c r="J64" s="15"/>
      <c r="V64" s="15"/>
      <c r="W64" s="15"/>
    </row>
    <row r="65">
      <c r="J65" s="15"/>
      <c r="V65" s="15"/>
      <c r="W65" s="15"/>
    </row>
    <row r="66">
      <c r="J66" s="15"/>
      <c r="V66" s="15"/>
      <c r="W66" s="15"/>
    </row>
    <row r="67">
      <c r="J67" s="15"/>
      <c r="V67" s="15"/>
      <c r="W67" s="15"/>
    </row>
    <row r="68">
      <c r="J68" s="15"/>
      <c r="V68" s="15"/>
      <c r="W68" s="15"/>
    </row>
    <row r="69">
      <c r="J69" s="15"/>
      <c r="V69" s="15"/>
      <c r="W69" s="15"/>
    </row>
    <row r="70">
      <c r="J70" s="15"/>
      <c r="V70" s="15"/>
      <c r="W70" s="15"/>
    </row>
    <row r="71">
      <c r="J71" s="15"/>
      <c r="V71" s="15"/>
      <c r="W71" s="15"/>
    </row>
    <row r="72">
      <c r="J72" s="15"/>
      <c r="V72" s="15"/>
      <c r="W72" s="15"/>
    </row>
    <row r="73">
      <c r="J73" s="15"/>
      <c r="V73" s="15"/>
      <c r="W73" s="15"/>
    </row>
    <row r="74">
      <c r="J74" s="15"/>
      <c r="V74" s="15"/>
      <c r="W74" s="15"/>
    </row>
    <row r="75">
      <c r="J75" s="15"/>
      <c r="V75" s="15"/>
      <c r="W75" s="15"/>
    </row>
    <row r="76">
      <c r="J76" s="15"/>
      <c r="V76" s="15"/>
      <c r="W76" s="15"/>
    </row>
    <row r="77">
      <c r="J77" s="15"/>
      <c r="V77" s="15"/>
      <c r="W77" s="15"/>
    </row>
    <row r="78">
      <c r="J78" s="15"/>
      <c r="V78" s="15"/>
      <c r="W78" s="15"/>
    </row>
    <row r="79">
      <c r="J79" s="15"/>
      <c r="V79" s="15"/>
      <c r="W79" s="15"/>
    </row>
    <row r="80">
      <c r="J80" s="15"/>
      <c r="V80" s="15"/>
      <c r="W80" s="15"/>
    </row>
    <row r="81">
      <c r="J81" s="15"/>
      <c r="V81" s="15"/>
      <c r="W81" s="15"/>
    </row>
    <row r="82">
      <c r="J82" s="15"/>
      <c r="V82" s="15"/>
      <c r="W82" s="15"/>
    </row>
    <row r="83">
      <c r="J83" s="15"/>
      <c r="V83" s="15"/>
      <c r="W83" s="15"/>
    </row>
    <row r="84">
      <c r="J84" s="15"/>
      <c r="V84" s="15"/>
      <c r="W84" s="15"/>
    </row>
    <row r="85">
      <c r="J85" s="15"/>
      <c r="V85" s="15"/>
      <c r="W85" s="15"/>
    </row>
    <row r="86">
      <c r="J86" s="15"/>
      <c r="V86" s="15"/>
      <c r="W86" s="15"/>
    </row>
    <row r="87">
      <c r="J87" s="15"/>
      <c r="V87" s="15"/>
      <c r="W87" s="15"/>
    </row>
    <row r="88">
      <c r="J88" s="15"/>
      <c r="V88" s="15"/>
      <c r="W88" s="15"/>
    </row>
    <row r="89">
      <c r="J89" s="15"/>
      <c r="V89" s="15"/>
      <c r="W89" s="15"/>
    </row>
    <row r="90">
      <c r="J90" s="15"/>
      <c r="V90" s="15"/>
      <c r="W90" s="15"/>
    </row>
    <row r="91">
      <c r="J91" s="15"/>
      <c r="V91" s="15"/>
      <c r="W91" s="15"/>
    </row>
    <row r="92">
      <c r="J92" s="15"/>
      <c r="V92" s="15"/>
      <c r="W92" s="15"/>
    </row>
    <row r="93">
      <c r="J93" s="15"/>
      <c r="V93" s="15"/>
      <c r="W93" s="15"/>
    </row>
    <row r="94">
      <c r="J94" s="15"/>
      <c r="V94" s="15"/>
      <c r="W94" s="15"/>
    </row>
    <row r="95">
      <c r="J95" s="15"/>
      <c r="V95" s="15"/>
      <c r="W95" s="15"/>
    </row>
    <row r="96">
      <c r="J96" s="15"/>
      <c r="V96" s="15"/>
      <c r="W96" s="15"/>
    </row>
    <row r="97">
      <c r="J97" s="15"/>
      <c r="V97" s="15"/>
      <c r="W97" s="15"/>
    </row>
    <row r="98">
      <c r="J98" s="15"/>
      <c r="V98" s="15"/>
      <c r="W98" s="15"/>
    </row>
    <row r="99">
      <c r="J99" s="15"/>
      <c r="V99" s="15"/>
      <c r="W99" s="15"/>
    </row>
    <row r="100">
      <c r="J100" s="15"/>
      <c r="V100" s="15"/>
      <c r="W100" s="15"/>
    </row>
    <row r="101">
      <c r="J101" s="15"/>
      <c r="V101" s="15"/>
      <c r="W101" s="15"/>
    </row>
    <row r="102">
      <c r="J102" s="15"/>
      <c r="V102" s="15"/>
      <c r="W102" s="15"/>
    </row>
    <row r="103">
      <c r="J103" s="15"/>
      <c r="V103" s="15"/>
      <c r="W103" s="15"/>
    </row>
    <row r="104">
      <c r="J104" s="15"/>
      <c r="V104" s="15"/>
      <c r="W104" s="15"/>
    </row>
    <row r="105">
      <c r="J105" s="15"/>
      <c r="V105" s="15"/>
      <c r="W105" s="15"/>
    </row>
    <row r="106">
      <c r="J106" s="15"/>
      <c r="V106" s="15"/>
      <c r="W106" s="15"/>
    </row>
    <row r="107">
      <c r="J107" s="15"/>
      <c r="V107" s="15"/>
      <c r="W107" s="15"/>
    </row>
    <row r="108">
      <c r="J108" s="15"/>
      <c r="V108" s="15"/>
      <c r="W108" s="15"/>
    </row>
    <row r="109">
      <c r="J109" s="15"/>
      <c r="V109" s="15"/>
      <c r="W109" s="15"/>
    </row>
    <row r="110">
      <c r="J110" s="15"/>
      <c r="V110" s="15"/>
      <c r="W110" s="15"/>
    </row>
    <row r="111">
      <c r="J111" s="15"/>
      <c r="V111" s="15"/>
      <c r="W111" s="15"/>
    </row>
    <row r="112">
      <c r="J112" s="15"/>
      <c r="V112" s="15"/>
      <c r="W112" s="15"/>
    </row>
    <row r="113">
      <c r="J113" s="15"/>
      <c r="V113" s="15"/>
      <c r="W113" s="15"/>
    </row>
    <row r="114">
      <c r="J114" s="15"/>
      <c r="V114" s="15"/>
      <c r="W114" s="15"/>
    </row>
    <row r="115">
      <c r="J115" s="15"/>
      <c r="V115" s="15"/>
      <c r="W115" s="15"/>
    </row>
    <row r="116">
      <c r="J116" s="15"/>
      <c r="V116" s="15"/>
      <c r="W116" s="15"/>
    </row>
    <row r="117">
      <c r="J117" s="15"/>
      <c r="V117" s="15"/>
      <c r="W117" s="15"/>
    </row>
    <row r="118">
      <c r="J118" s="15"/>
      <c r="V118" s="15"/>
      <c r="W118" s="15"/>
    </row>
    <row r="119">
      <c r="J119" s="15"/>
      <c r="V119" s="15"/>
      <c r="W119" s="15"/>
    </row>
    <row r="120">
      <c r="J120" s="15"/>
      <c r="V120" s="15"/>
      <c r="W120" s="15"/>
    </row>
    <row r="121">
      <c r="J121" s="15"/>
      <c r="V121" s="15"/>
      <c r="W121" s="15"/>
    </row>
    <row r="122">
      <c r="J122" s="15"/>
      <c r="V122" s="15"/>
      <c r="W122" s="15"/>
    </row>
    <row r="123">
      <c r="J123" s="15"/>
      <c r="V123" s="15"/>
      <c r="W123" s="15"/>
    </row>
    <row r="124">
      <c r="J124" s="15"/>
      <c r="V124" s="15"/>
      <c r="W124" s="15"/>
    </row>
    <row r="125">
      <c r="J125" s="15"/>
      <c r="V125" s="15"/>
      <c r="W125" s="15"/>
    </row>
    <row r="126">
      <c r="J126" s="15"/>
      <c r="V126" s="15"/>
      <c r="W126" s="15"/>
    </row>
    <row r="127">
      <c r="J127" s="15"/>
      <c r="V127" s="15"/>
      <c r="W127" s="15"/>
    </row>
    <row r="128">
      <c r="J128" s="15"/>
      <c r="V128" s="15"/>
      <c r="W128" s="15"/>
    </row>
    <row r="129">
      <c r="J129" s="15"/>
      <c r="V129" s="15"/>
      <c r="W129" s="15"/>
    </row>
    <row r="130">
      <c r="J130" s="15"/>
      <c r="V130" s="15"/>
      <c r="W130" s="15"/>
    </row>
    <row r="131">
      <c r="J131" s="15"/>
      <c r="V131" s="15"/>
      <c r="W131" s="15"/>
    </row>
    <row r="132">
      <c r="J132" s="15"/>
      <c r="V132" s="15"/>
      <c r="W132" s="15"/>
    </row>
    <row r="133">
      <c r="J133" s="15"/>
      <c r="V133" s="15"/>
      <c r="W133" s="15"/>
    </row>
    <row r="134">
      <c r="J134" s="15"/>
      <c r="V134" s="15"/>
      <c r="W134" s="15"/>
    </row>
    <row r="135">
      <c r="J135" s="15"/>
      <c r="V135" s="15"/>
      <c r="W135" s="15"/>
    </row>
    <row r="136">
      <c r="J136" s="15"/>
      <c r="V136" s="15"/>
      <c r="W136" s="15"/>
    </row>
    <row r="137">
      <c r="J137" s="15"/>
      <c r="V137" s="15"/>
      <c r="W137" s="15"/>
    </row>
    <row r="138">
      <c r="J138" s="15"/>
      <c r="V138" s="15"/>
      <c r="W138" s="15"/>
    </row>
    <row r="139">
      <c r="J139" s="15"/>
      <c r="V139" s="15"/>
      <c r="W139" s="15"/>
    </row>
    <row r="140">
      <c r="J140" s="15"/>
      <c r="V140" s="15"/>
      <c r="W140" s="15"/>
    </row>
    <row r="141">
      <c r="J141" s="15"/>
      <c r="V141" s="15"/>
      <c r="W141" s="15"/>
    </row>
    <row r="142">
      <c r="J142" s="15"/>
      <c r="V142" s="15"/>
      <c r="W142" s="15"/>
    </row>
    <row r="143">
      <c r="J143" s="15"/>
      <c r="V143" s="15"/>
      <c r="W143" s="15"/>
    </row>
    <row r="144">
      <c r="J144" s="15"/>
      <c r="V144" s="15"/>
      <c r="W144" s="15"/>
    </row>
    <row r="145">
      <c r="J145" s="15"/>
      <c r="V145" s="15"/>
      <c r="W145" s="15"/>
    </row>
    <row r="146">
      <c r="J146" s="15"/>
      <c r="V146" s="15"/>
      <c r="W146" s="15"/>
    </row>
    <row r="147">
      <c r="J147" s="15"/>
      <c r="V147" s="15"/>
      <c r="W147" s="15"/>
    </row>
    <row r="148">
      <c r="J148" s="15"/>
      <c r="V148" s="15"/>
      <c r="W148" s="15"/>
    </row>
    <row r="149">
      <c r="J149" s="15"/>
      <c r="V149" s="15"/>
      <c r="W149" s="15"/>
    </row>
    <row r="150">
      <c r="J150" s="15"/>
      <c r="V150" s="15"/>
      <c r="W150" s="15"/>
    </row>
    <row r="151">
      <c r="J151" s="15"/>
      <c r="V151" s="15"/>
      <c r="W151" s="15"/>
    </row>
    <row r="152">
      <c r="J152" s="15"/>
      <c r="V152" s="15"/>
      <c r="W152" s="15"/>
    </row>
    <row r="153">
      <c r="J153" s="15"/>
      <c r="V153" s="15"/>
      <c r="W153" s="15"/>
    </row>
    <row r="154">
      <c r="J154" s="15"/>
      <c r="V154" s="15"/>
      <c r="W154" s="15"/>
    </row>
    <row r="155">
      <c r="J155" s="15"/>
      <c r="V155" s="15"/>
      <c r="W155" s="15"/>
    </row>
    <row r="156">
      <c r="J156" s="15"/>
      <c r="V156" s="15"/>
      <c r="W156" s="15"/>
    </row>
    <row r="157">
      <c r="J157" s="15"/>
      <c r="V157" s="15"/>
      <c r="W157" s="15"/>
    </row>
    <row r="158">
      <c r="J158" s="15"/>
      <c r="V158" s="15"/>
      <c r="W158" s="15"/>
    </row>
    <row r="159">
      <c r="J159" s="15"/>
      <c r="V159" s="15"/>
      <c r="W159" s="15"/>
    </row>
    <row r="160">
      <c r="J160" s="15"/>
      <c r="V160" s="15"/>
      <c r="W160" s="15"/>
    </row>
    <row r="161">
      <c r="J161" s="15"/>
      <c r="V161" s="15"/>
      <c r="W161" s="15"/>
    </row>
    <row r="162">
      <c r="J162" s="15"/>
      <c r="V162" s="15"/>
      <c r="W162" s="15"/>
    </row>
    <row r="163">
      <c r="J163" s="15"/>
      <c r="V163" s="15"/>
      <c r="W163" s="15"/>
    </row>
    <row r="164">
      <c r="J164" s="15"/>
      <c r="V164" s="15"/>
      <c r="W164" s="15"/>
    </row>
    <row r="165">
      <c r="J165" s="15"/>
      <c r="V165" s="15"/>
      <c r="W165" s="15"/>
    </row>
    <row r="166">
      <c r="J166" s="15"/>
      <c r="V166" s="15"/>
      <c r="W166" s="15"/>
    </row>
    <row r="167">
      <c r="J167" s="15"/>
      <c r="V167" s="15"/>
      <c r="W167" s="15"/>
    </row>
    <row r="168">
      <c r="J168" s="15"/>
      <c r="V168" s="15"/>
      <c r="W168" s="15"/>
    </row>
    <row r="169">
      <c r="J169" s="15"/>
      <c r="V169" s="15"/>
      <c r="W169" s="15"/>
    </row>
    <row r="170">
      <c r="J170" s="15"/>
      <c r="V170" s="15"/>
      <c r="W170" s="15"/>
    </row>
    <row r="171">
      <c r="J171" s="15"/>
      <c r="V171" s="15"/>
      <c r="W171" s="15"/>
    </row>
    <row r="172">
      <c r="J172" s="15"/>
      <c r="V172" s="15"/>
      <c r="W172" s="15"/>
    </row>
    <row r="173">
      <c r="J173" s="15"/>
      <c r="V173" s="15"/>
      <c r="W173" s="15"/>
    </row>
    <row r="174">
      <c r="J174" s="15"/>
      <c r="V174" s="15"/>
      <c r="W174" s="15"/>
    </row>
    <row r="175">
      <c r="J175" s="15"/>
      <c r="V175" s="15"/>
      <c r="W175" s="15"/>
    </row>
    <row r="176">
      <c r="J176" s="15"/>
      <c r="V176" s="15"/>
      <c r="W176" s="15"/>
    </row>
    <row r="177">
      <c r="J177" s="15"/>
      <c r="V177" s="15"/>
      <c r="W177" s="15"/>
    </row>
    <row r="178">
      <c r="J178" s="15"/>
      <c r="V178" s="15"/>
      <c r="W178" s="15"/>
    </row>
    <row r="179">
      <c r="J179" s="15"/>
      <c r="V179" s="15"/>
      <c r="W179" s="15"/>
    </row>
    <row r="180">
      <c r="J180" s="15"/>
      <c r="V180" s="15"/>
      <c r="W180" s="15"/>
    </row>
    <row r="181">
      <c r="J181" s="15"/>
      <c r="V181" s="15"/>
      <c r="W181" s="15"/>
    </row>
    <row r="182">
      <c r="J182" s="15"/>
      <c r="V182" s="15"/>
      <c r="W182" s="15"/>
    </row>
    <row r="183">
      <c r="J183" s="15"/>
      <c r="V183" s="15"/>
      <c r="W183" s="15"/>
    </row>
    <row r="184">
      <c r="J184" s="15"/>
      <c r="V184" s="15"/>
      <c r="W184" s="15"/>
    </row>
    <row r="185">
      <c r="J185" s="15"/>
      <c r="V185" s="15"/>
      <c r="W185" s="15"/>
    </row>
    <row r="186">
      <c r="J186" s="15"/>
      <c r="V186" s="15"/>
      <c r="W186" s="15"/>
    </row>
    <row r="187">
      <c r="J187" s="15"/>
      <c r="V187" s="15"/>
      <c r="W187" s="15"/>
    </row>
    <row r="188">
      <c r="J188" s="15"/>
      <c r="V188" s="15"/>
      <c r="W188" s="15"/>
    </row>
    <row r="189">
      <c r="J189" s="15"/>
      <c r="V189" s="15"/>
      <c r="W189" s="15"/>
    </row>
    <row r="190">
      <c r="J190" s="15"/>
      <c r="V190" s="15"/>
      <c r="W190" s="15"/>
    </row>
    <row r="191">
      <c r="J191" s="15"/>
      <c r="V191" s="15"/>
      <c r="W191" s="15"/>
    </row>
    <row r="192">
      <c r="J192" s="15"/>
      <c r="V192" s="15"/>
      <c r="W192" s="15"/>
    </row>
    <row r="193">
      <c r="J193" s="15"/>
      <c r="V193" s="15"/>
      <c r="W193" s="15"/>
    </row>
    <row r="194">
      <c r="J194" s="15"/>
      <c r="V194" s="15"/>
      <c r="W194" s="15"/>
    </row>
    <row r="195">
      <c r="J195" s="15"/>
      <c r="V195" s="15"/>
      <c r="W195" s="15"/>
    </row>
    <row r="196">
      <c r="J196" s="15"/>
      <c r="V196" s="15"/>
      <c r="W196" s="15"/>
    </row>
    <row r="197">
      <c r="J197" s="15"/>
      <c r="V197" s="15"/>
      <c r="W197" s="15"/>
    </row>
    <row r="198">
      <c r="J198" s="15"/>
      <c r="V198" s="15"/>
      <c r="W198" s="15"/>
    </row>
    <row r="199">
      <c r="J199" s="15"/>
      <c r="V199" s="15"/>
      <c r="W199" s="15"/>
    </row>
    <row r="200">
      <c r="J200" s="15"/>
      <c r="V200" s="15"/>
      <c r="W200" s="15"/>
    </row>
    <row r="201">
      <c r="J201" s="15"/>
      <c r="V201" s="15"/>
      <c r="W201" s="15"/>
    </row>
    <row r="202">
      <c r="J202" s="15"/>
      <c r="V202" s="15"/>
      <c r="W202" s="15"/>
    </row>
    <row r="203">
      <c r="J203" s="15"/>
      <c r="V203" s="15"/>
      <c r="W203" s="15"/>
    </row>
    <row r="204">
      <c r="J204" s="15"/>
      <c r="V204" s="15"/>
      <c r="W204" s="15"/>
    </row>
    <row r="205">
      <c r="J205" s="15"/>
      <c r="V205" s="15"/>
      <c r="W205" s="15"/>
    </row>
    <row r="206">
      <c r="J206" s="15"/>
      <c r="V206" s="15"/>
      <c r="W206" s="15"/>
    </row>
    <row r="207">
      <c r="J207" s="15"/>
      <c r="V207" s="15"/>
      <c r="W207" s="15"/>
    </row>
    <row r="208">
      <c r="J208" s="15"/>
      <c r="V208" s="15"/>
      <c r="W208" s="15"/>
    </row>
    <row r="209">
      <c r="J209" s="15"/>
      <c r="V209" s="15"/>
      <c r="W209" s="15"/>
    </row>
    <row r="210">
      <c r="J210" s="15"/>
      <c r="V210" s="15"/>
      <c r="W210" s="15"/>
    </row>
    <row r="211">
      <c r="J211" s="15"/>
      <c r="V211" s="15"/>
      <c r="W211" s="15"/>
    </row>
    <row r="212">
      <c r="J212" s="15"/>
      <c r="V212" s="15"/>
      <c r="W212" s="15"/>
    </row>
    <row r="213">
      <c r="J213" s="15"/>
      <c r="V213" s="15"/>
      <c r="W213" s="15"/>
    </row>
    <row r="214">
      <c r="J214" s="15"/>
      <c r="V214" s="15"/>
      <c r="W214" s="15"/>
    </row>
    <row r="215">
      <c r="J215" s="15"/>
      <c r="V215" s="15"/>
      <c r="W215" s="15"/>
    </row>
    <row r="216">
      <c r="J216" s="15"/>
      <c r="V216" s="15"/>
      <c r="W216" s="15"/>
    </row>
    <row r="217">
      <c r="J217" s="15"/>
      <c r="V217" s="15"/>
      <c r="W217" s="15"/>
    </row>
    <row r="218">
      <c r="J218" s="15"/>
      <c r="V218" s="15"/>
      <c r="W218" s="15"/>
    </row>
    <row r="219">
      <c r="J219" s="15"/>
      <c r="V219" s="15"/>
      <c r="W219" s="15"/>
    </row>
    <row r="220">
      <c r="J220" s="15"/>
      <c r="V220" s="15"/>
      <c r="W220" s="15"/>
    </row>
    <row r="221">
      <c r="J221" s="15"/>
      <c r="V221" s="15"/>
      <c r="W221" s="15"/>
    </row>
    <row r="222">
      <c r="J222" s="15"/>
      <c r="V222" s="15"/>
      <c r="W222" s="15"/>
    </row>
    <row r="223">
      <c r="J223" s="15"/>
      <c r="V223" s="15"/>
      <c r="W223" s="15"/>
    </row>
    <row r="224">
      <c r="J224" s="15"/>
      <c r="V224" s="15"/>
      <c r="W224" s="15"/>
    </row>
    <row r="225">
      <c r="J225" s="15"/>
      <c r="V225" s="15"/>
      <c r="W225" s="15"/>
    </row>
    <row r="226">
      <c r="J226" s="15"/>
      <c r="V226" s="15"/>
      <c r="W226" s="15"/>
    </row>
    <row r="227">
      <c r="J227" s="15"/>
      <c r="V227" s="15"/>
      <c r="W227" s="15"/>
    </row>
    <row r="228">
      <c r="J228" s="15"/>
      <c r="V228" s="15"/>
      <c r="W228" s="15"/>
    </row>
    <row r="229">
      <c r="J229" s="15"/>
      <c r="V229" s="15"/>
      <c r="W229" s="15"/>
    </row>
    <row r="230">
      <c r="J230" s="15"/>
      <c r="V230" s="15"/>
      <c r="W230" s="15"/>
    </row>
    <row r="231">
      <c r="J231" s="15"/>
      <c r="V231" s="15"/>
      <c r="W231" s="15"/>
    </row>
    <row r="232">
      <c r="J232" s="15"/>
      <c r="V232" s="15"/>
      <c r="W232" s="15"/>
    </row>
    <row r="233">
      <c r="J233" s="15"/>
      <c r="V233" s="15"/>
      <c r="W233" s="15"/>
    </row>
    <row r="234">
      <c r="J234" s="15"/>
      <c r="V234" s="15"/>
      <c r="W234" s="15"/>
    </row>
    <row r="235">
      <c r="J235" s="15"/>
      <c r="V235" s="15"/>
      <c r="W235" s="15"/>
    </row>
    <row r="236">
      <c r="J236" s="15"/>
      <c r="V236" s="15"/>
      <c r="W236" s="15"/>
    </row>
    <row r="237">
      <c r="J237" s="15"/>
      <c r="V237" s="15"/>
      <c r="W237" s="15"/>
    </row>
    <row r="238">
      <c r="J238" s="15"/>
      <c r="V238" s="15"/>
      <c r="W238" s="15"/>
    </row>
    <row r="239">
      <c r="J239" s="15"/>
      <c r="V239" s="15"/>
      <c r="W239" s="15"/>
    </row>
    <row r="240">
      <c r="J240" s="15"/>
      <c r="V240" s="15"/>
      <c r="W240" s="15"/>
    </row>
    <row r="241">
      <c r="J241" s="15"/>
      <c r="V241" s="15"/>
      <c r="W241" s="15"/>
    </row>
    <row r="242">
      <c r="J242" s="15"/>
      <c r="V242" s="15"/>
      <c r="W242" s="15"/>
    </row>
    <row r="243">
      <c r="J243" s="15"/>
      <c r="V243" s="15"/>
      <c r="W243" s="15"/>
    </row>
    <row r="244">
      <c r="J244" s="15"/>
      <c r="V244" s="15"/>
      <c r="W244" s="15"/>
    </row>
    <row r="245">
      <c r="J245" s="15"/>
      <c r="V245" s="15"/>
      <c r="W245" s="15"/>
    </row>
    <row r="246">
      <c r="J246" s="15"/>
      <c r="V246" s="15"/>
      <c r="W246" s="15"/>
    </row>
    <row r="247">
      <c r="J247" s="15"/>
      <c r="V247" s="15"/>
      <c r="W247" s="15"/>
    </row>
    <row r="248">
      <c r="J248" s="15"/>
      <c r="V248" s="15"/>
      <c r="W248" s="15"/>
    </row>
    <row r="249">
      <c r="J249" s="15"/>
      <c r="V249" s="15"/>
      <c r="W249" s="15"/>
    </row>
    <row r="250">
      <c r="J250" s="15"/>
      <c r="V250" s="15"/>
      <c r="W250" s="15"/>
    </row>
    <row r="251">
      <c r="J251" s="15"/>
      <c r="V251" s="15"/>
      <c r="W251" s="15"/>
    </row>
    <row r="252">
      <c r="J252" s="15"/>
      <c r="V252" s="15"/>
      <c r="W252" s="15"/>
    </row>
    <row r="253">
      <c r="J253" s="15"/>
      <c r="V253" s="15"/>
      <c r="W253" s="15"/>
    </row>
    <row r="254">
      <c r="J254" s="15"/>
      <c r="V254" s="15"/>
      <c r="W254" s="15"/>
    </row>
    <row r="255">
      <c r="J255" s="15"/>
      <c r="V255" s="15"/>
      <c r="W255" s="15"/>
    </row>
    <row r="256">
      <c r="J256" s="15"/>
      <c r="V256" s="15"/>
      <c r="W256" s="15"/>
    </row>
    <row r="257">
      <c r="J257" s="15"/>
      <c r="V257" s="15"/>
      <c r="W257" s="15"/>
    </row>
    <row r="258">
      <c r="J258" s="15"/>
      <c r="V258" s="15"/>
      <c r="W258" s="15"/>
    </row>
    <row r="259">
      <c r="J259" s="15"/>
      <c r="V259" s="15"/>
      <c r="W259" s="15"/>
    </row>
    <row r="260">
      <c r="J260" s="15"/>
      <c r="V260" s="15"/>
      <c r="W260" s="15"/>
    </row>
    <row r="261">
      <c r="J261" s="15"/>
      <c r="V261" s="15"/>
      <c r="W261" s="15"/>
    </row>
    <row r="262">
      <c r="J262" s="15"/>
      <c r="V262" s="15"/>
      <c r="W262" s="15"/>
    </row>
    <row r="263">
      <c r="J263" s="15"/>
      <c r="V263" s="15"/>
      <c r="W263" s="15"/>
    </row>
    <row r="264">
      <c r="J264" s="15"/>
      <c r="V264" s="15"/>
      <c r="W264" s="15"/>
    </row>
    <row r="265">
      <c r="J265" s="15"/>
      <c r="V265" s="15"/>
      <c r="W265" s="15"/>
    </row>
    <row r="266">
      <c r="J266" s="15"/>
      <c r="V266" s="15"/>
      <c r="W266" s="15"/>
    </row>
    <row r="267">
      <c r="J267" s="15"/>
      <c r="V267" s="15"/>
      <c r="W267" s="15"/>
    </row>
    <row r="268">
      <c r="J268" s="15"/>
      <c r="V268" s="15"/>
      <c r="W268" s="15"/>
    </row>
    <row r="269">
      <c r="J269" s="15"/>
      <c r="V269" s="15"/>
      <c r="W269" s="15"/>
    </row>
    <row r="270">
      <c r="J270" s="15"/>
      <c r="V270" s="15"/>
      <c r="W270" s="15"/>
    </row>
    <row r="271">
      <c r="J271" s="15"/>
      <c r="V271" s="15"/>
      <c r="W271" s="15"/>
    </row>
    <row r="272">
      <c r="J272" s="15"/>
      <c r="V272" s="15"/>
      <c r="W272" s="15"/>
    </row>
    <row r="273">
      <c r="J273" s="15"/>
      <c r="V273" s="15"/>
      <c r="W273" s="15"/>
    </row>
    <row r="274">
      <c r="J274" s="15"/>
      <c r="V274" s="15"/>
      <c r="W274" s="15"/>
    </row>
    <row r="275">
      <c r="J275" s="15"/>
      <c r="V275" s="15"/>
      <c r="W275" s="15"/>
    </row>
    <row r="276">
      <c r="J276" s="15"/>
      <c r="V276" s="15"/>
      <c r="W276" s="15"/>
    </row>
    <row r="277">
      <c r="J277" s="15"/>
      <c r="V277" s="15"/>
      <c r="W277" s="15"/>
    </row>
    <row r="278">
      <c r="J278" s="15"/>
      <c r="V278" s="15"/>
      <c r="W278" s="15"/>
    </row>
    <row r="279">
      <c r="J279" s="15"/>
      <c r="V279" s="15"/>
      <c r="W279" s="15"/>
    </row>
    <row r="280">
      <c r="J280" s="15"/>
      <c r="V280" s="15"/>
      <c r="W280" s="15"/>
    </row>
    <row r="281">
      <c r="J281" s="15"/>
      <c r="V281" s="15"/>
      <c r="W281" s="15"/>
    </row>
    <row r="282">
      <c r="J282" s="15"/>
      <c r="V282" s="15"/>
      <c r="W282" s="15"/>
    </row>
    <row r="283">
      <c r="J283" s="15"/>
      <c r="V283" s="15"/>
      <c r="W283" s="15"/>
    </row>
    <row r="284">
      <c r="J284" s="15"/>
      <c r="V284" s="15"/>
      <c r="W284" s="15"/>
    </row>
    <row r="285">
      <c r="J285" s="15"/>
      <c r="V285" s="15"/>
      <c r="W285" s="15"/>
    </row>
    <row r="286">
      <c r="J286" s="15"/>
      <c r="V286" s="15"/>
      <c r="W286" s="15"/>
    </row>
    <row r="287">
      <c r="J287" s="15"/>
      <c r="V287" s="15"/>
      <c r="W287" s="15"/>
    </row>
    <row r="288">
      <c r="J288" s="15"/>
      <c r="V288" s="15"/>
      <c r="W288" s="15"/>
    </row>
    <row r="289">
      <c r="J289" s="15"/>
      <c r="V289" s="15"/>
      <c r="W289" s="15"/>
    </row>
    <row r="290">
      <c r="J290" s="15"/>
      <c r="V290" s="15"/>
      <c r="W290" s="15"/>
    </row>
    <row r="291">
      <c r="J291" s="15"/>
      <c r="V291" s="15"/>
      <c r="W291" s="15"/>
    </row>
    <row r="292">
      <c r="J292" s="15"/>
      <c r="V292" s="15"/>
      <c r="W292" s="15"/>
    </row>
    <row r="293">
      <c r="J293" s="15"/>
      <c r="V293" s="15"/>
      <c r="W293" s="15"/>
    </row>
    <row r="294">
      <c r="J294" s="15"/>
      <c r="V294" s="15"/>
      <c r="W294" s="15"/>
    </row>
    <row r="295">
      <c r="J295" s="15"/>
      <c r="V295" s="15"/>
      <c r="W295" s="15"/>
    </row>
    <row r="296">
      <c r="J296" s="15"/>
      <c r="V296" s="15"/>
      <c r="W296" s="15"/>
    </row>
    <row r="297">
      <c r="J297" s="15"/>
      <c r="V297" s="15"/>
      <c r="W297" s="15"/>
    </row>
    <row r="298">
      <c r="J298" s="15"/>
      <c r="V298" s="15"/>
      <c r="W298" s="15"/>
    </row>
    <row r="299">
      <c r="J299" s="15"/>
      <c r="V299" s="15"/>
      <c r="W299" s="15"/>
    </row>
    <row r="300">
      <c r="J300" s="15"/>
      <c r="V300" s="15"/>
      <c r="W300" s="15"/>
    </row>
    <row r="301">
      <c r="J301" s="15"/>
      <c r="V301" s="15"/>
      <c r="W301" s="15"/>
    </row>
    <row r="302">
      <c r="J302" s="15"/>
      <c r="V302" s="15"/>
      <c r="W302" s="15"/>
    </row>
    <row r="303">
      <c r="J303" s="15"/>
      <c r="V303" s="15"/>
      <c r="W303" s="15"/>
    </row>
    <row r="304">
      <c r="J304" s="15"/>
      <c r="V304" s="15"/>
      <c r="W304" s="15"/>
    </row>
    <row r="305">
      <c r="J305" s="15"/>
      <c r="V305" s="15"/>
      <c r="W305" s="15"/>
    </row>
    <row r="306">
      <c r="J306" s="15"/>
      <c r="V306" s="15"/>
      <c r="W306" s="15"/>
    </row>
    <row r="307">
      <c r="J307" s="15"/>
      <c r="V307" s="15"/>
      <c r="W307" s="15"/>
    </row>
    <row r="308">
      <c r="J308" s="15"/>
      <c r="V308" s="15"/>
      <c r="W308" s="15"/>
    </row>
    <row r="309">
      <c r="J309" s="15"/>
      <c r="V309" s="15"/>
      <c r="W309" s="15"/>
    </row>
    <row r="310">
      <c r="J310" s="15"/>
      <c r="V310" s="15"/>
      <c r="W310" s="15"/>
    </row>
    <row r="311">
      <c r="J311" s="15"/>
      <c r="V311" s="15"/>
      <c r="W311" s="15"/>
    </row>
    <row r="312">
      <c r="J312" s="15"/>
      <c r="V312" s="15"/>
      <c r="W312" s="15"/>
    </row>
    <row r="313">
      <c r="J313" s="15"/>
      <c r="V313" s="15"/>
      <c r="W313" s="15"/>
    </row>
    <row r="314">
      <c r="J314" s="15"/>
      <c r="V314" s="15"/>
      <c r="W314" s="15"/>
    </row>
    <row r="315">
      <c r="J315" s="15"/>
      <c r="V315" s="15"/>
      <c r="W315" s="15"/>
    </row>
    <row r="316">
      <c r="J316" s="15"/>
      <c r="V316" s="15"/>
      <c r="W316" s="15"/>
    </row>
    <row r="317">
      <c r="J317" s="15"/>
      <c r="V317" s="15"/>
      <c r="W317" s="15"/>
    </row>
    <row r="318">
      <c r="J318" s="15"/>
      <c r="V318" s="15"/>
      <c r="W318" s="15"/>
    </row>
    <row r="319">
      <c r="J319" s="15"/>
      <c r="V319" s="15"/>
      <c r="W319" s="15"/>
    </row>
    <row r="320">
      <c r="J320" s="15"/>
      <c r="V320" s="15"/>
      <c r="W320" s="15"/>
    </row>
    <row r="321">
      <c r="J321" s="15"/>
      <c r="V321" s="15"/>
      <c r="W321" s="15"/>
    </row>
    <row r="322">
      <c r="J322" s="15"/>
      <c r="V322" s="15"/>
      <c r="W322" s="15"/>
    </row>
    <row r="323">
      <c r="J323" s="15"/>
      <c r="V323" s="15"/>
      <c r="W323" s="15"/>
    </row>
    <row r="324">
      <c r="J324" s="15"/>
      <c r="V324" s="15"/>
      <c r="W324" s="15"/>
    </row>
    <row r="325">
      <c r="J325" s="15"/>
      <c r="V325" s="15"/>
      <c r="W325" s="15"/>
    </row>
    <row r="326">
      <c r="J326" s="15"/>
      <c r="V326" s="15"/>
      <c r="W326" s="15"/>
    </row>
    <row r="327">
      <c r="J327" s="15"/>
      <c r="V327" s="15"/>
      <c r="W327" s="15"/>
    </row>
    <row r="328">
      <c r="J328" s="15"/>
      <c r="V328" s="15"/>
      <c r="W328" s="15"/>
    </row>
    <row r="329">
      <c r="J329" s="15"/>
      <c r="V329" s="15"/>
      <c r="W329" s="15"/>
    </row>
    <row r="330">
      <c r="J330" s="15"/>
      <c r="V330" s="15"/>
      <c r="W330" s="15"/>
    </row>
    <row r="331">
      <c r="J331" s="15"/>
      <c r="V331" s="15"/>
      <c r="W331" s="15"/>
    </row>
    <row r="332">
      <c r="J332" s="15"/>
      <c r="V332" s="15"/>
      <c r="W332" s="15"/>
    </row>
    <row r="333">
      <c r="J333" s="15"/>
      <c r="V333" s="15"/>
      <c r="W333" s="15"/>
    </row>
    <row r="334">
      <c r="J334" s="15"/>
      <c r="V334" s="15"/>
      <c r="W334" s="15"/>
    </row>
    <row r="335">
      <c r="J335" s="15"/>
      <c r="V335" s="15"/>
      <c r="W335" s="15"/>
    </row>
    <row r="336">
      <c r="J336" s="15"/>
      <c r="V336" s="15"/>
      <c r="W336" s="15"/>
    </row>
    <row r="337">
      <c r="J337" s="15"/>
      <c r="V337" s="15"/>
      <c r="W337" s="15"/>
    </row>
    <row r="338">
      <c r="J338" s="15"/>
      <c r="V338" s="15"/>
      <c r="W338" s="15"/>
    </row>
    <row r="339">
      <c r="J339" s="15"/>
      <c r="V339" s="15"/>
      <c r="W339" s="15"/>
    </row>
    <row r="340">
      <c r="J340" s="15"/>
      <c r="V340" s="15"/>
      <c r="W340" s="15"/>
    </row>
    <row r="341">
      <c r="J341" s="15"/>
      <c r="V341" s="15"/>
      <c r="W341" s="15"/>
    </row>
    <row r="342">
      <c r="J342" s="15"/>
      <c r="V342" s="15"/>
      <c r="W342" s="15"/>
    </row>
    <row r="343">
      <c r="J343" s="15"/>
      <c r="V343" s="15"/>
      <c r="W343" s="15"/>
    </row>
    <row r="344">
      <c r="J344" s="15"/>
      <c r="V344" s="15"/>
      <c r="W344" s="15"/>
    </row>
    <row r="345">
      <c r="J345" s="15"/>
      <c r="V345" s="15"/>
      <c r="W345" s="15"/>
    </row>
    <row r="346">
      <c r="J346" s="15"/>
      <c r="V346" s="15"/>
      <c r="W346" s="15"/>
    </row>
    <row r="347">
      <c r="J347" s="15"/>
      <c r="V347" s="15"/>
      <c r="W347" s="15"/>
    </row>
    <row r="348">
      <c r="J348" s="15"/>
      <c r="V348" s="15"/>
      <c r="W348" s="15"/>
    </row>
    <row r="349">
      <c r="J349" s="15"/>
      <c r="V349" s="15"/>
      <c r="W349" s="15"/>
    </row>
    <row r="350">
      <c r="J350" s="15"/>
      <c r="V350" s="15"/>
      <c r="W350" s="15"/>
    </row>
    <row r="351">
      <c r="J351" s="15"/>
      <c r="V351" s="15"/>
      <c r="W351" s="15"/>
    </row>
    <row r="352">
      <c r="J352" s="15"/>
      <c r="V352" s="15"/>
      <c r="W352" s="15"/>
    </row>
    <row r="353">
      <c r="J353" s="15"/>
      <c r="V353" s="15"/>
      <c r="W353" s="15"/>
    </row>
    <row r="354">
      <c r="J354" s="15"/>
      <c r="V354" s="15"/>
      <c r="W354" s="15"/>
    </row>
    <row r="355">
      <c r="J355" s="15"/>
      <c r="V355" s="15"/>
      <c r="W355" s="15"/>
    </row>
    <row r="356">
      <c r="J356" s="15"/>
      <c r="V356" s="15"/>
      <c r="W356" s="15"/>
    </row>
    <row r="357">
      <c r="J357" s="15"/>
      <c r="V357" s="15"/>
      <c r="W357" s="15"/>
    </row>
    <row r="358">
      <c r="J358" s="15"/>
      <c r="V358" s="15"/>
      <c r="W358" s="15"/>
    </row>
    <row r="359">
      <c r="J359" s="15"/>
      <c r="V359" s="15"/>
      <c r="W359" s="15"/>
    </row>
    <row r="360">
      <c r="J360" s="15"/>
      <c r="V360" s="15"/>
      <c r="W360" s="15"/>
    </row>
    <row r="361">
      <c r="J361" s="15"/>
      <c r="V361" s="15"/>
      <c r="W361" s="15"/>
    </row>
    <row r="362">
      <c r="J362" s="15"/>
      <c r="V362" s="15"/>
      <c r="W362" s="15"/>
    </row>
    <row r="363">
      <c r="J363" s="15"/>
      <c r="V363" s="15"/>
      <c r="W363" s="15"/>
    </row>
    <row r="364">
      <c r="J364" s="15"/>
      <c r="V364" s="15"/>
      <c r="W364" s="15"/>
    </row>
    <row r="365">
      <c r="J365" s="15"/>
      <c r="V365" s="15"/>
      <c r="W365" s="15"/>
    </row>
    <row r="366">
      <c r="J366" s="15"/>
      <c r="V366" s="15"/>
      <c r="W366" s="15"/>
    </row>
    <row r="367">
      <c r="J367" s="15"/>
      <c r="V367" s="15"/>
      <c r="W367" s="15"/>
    </row>
    <row r="368">
      <c r="J368" s="15"/>
      <c r="V368" s="15"/>
      <c r="W368" s="15"/>
    </row>
    <row r="369">
      <c r="J369" s="15"/>
      <c r="V369" s="15"/>
      <c r="W369" s="15"/>
    </row>
    <row r="370">
      <c r="J370" s="15"/>
      <c r="V370" s="15"/>
      <c r="W370" s="15"/>
    </row>
    <row r="371">
      <c r="J371" s="15"/>
      <c r="V371" s="15"/>
      <c r="W371" s="15"/>
    </row>
    <row r="372">
      <c r="J372" s="15"/>
      <c r="V372" s="15"/>
      <c r="W372" s="15"/>
    </row>
    <row r="373">
      <c r="J373" s="15"/>
      <c r="V373" s="15"/>
      <c r="W373" s="15"/>
    </row>
    <row r="374">
      <c r="J374" s="15"/>
      <c r="V374" s="15"/>
      <c r="W374" s="15"/>
    </row>
    <row r="375">
      <c r="J375" s="15"/>
      <c r="V375" s="15"/>
      <c r="W375" s="15"/>
    </row>
    <row r="376">
      <c r="J376" s="15"/>
      <c r="V376" s="15"/>
      <c r="W376" s="15"/>
    </row>
    <row r="377">
      <c r="J377" s="15"/>
      <c r="V377" s="15"/>
      <c r="W377" s="15"/>
    </row>
    <row r="378">
      <c r="J378" s="15"/>
      <c r="V378" s="15"/>
      <c r="W378" s="15"/>
    </row>
    <row r="379">
      <c r="J379" s="15"/>
      <c r="V379" s="15"/>
      <c r="W379" s="15"/>
    </row>
    <row r="380">
      <c r="J380" s="15"/>
      <c r="V380" s="15"/>
      <c r="W380" s="15"/>
    </row>
    <row r="381">
      <c r="J381" s="15"/>
      <c r="V381" s="15"/>
      <c r="W381" s="15"/>
    </row>
    <row r="382">
      <c r="J382" s="15"/>
      <c r="V382" s="15"/>
      <c r="W382" s="15"/>
    </row>
    <row r="383">
      <c r="J383" s="15"/>
      <c r="V383" s="15"/>
      <c r="W383" s="15"/>
    </row>
    <row r="384">
      <c r="J384" s="15"/>
      <c r="V384" s="15"/>
      <c r="W384" s="15"/>
    </row>
    <row r="385">
      <c r="J385" s="15"/>
      <c r="V385" s="15"/>
      <c r="W385" s="15"/>
    </row>
    <row r="386">
      <c r="J386" s="15"/>
      <c r="V386" s="15"/>
      <c r="W386" s="15"/>
    </row>
    <row r="387">
      <c r="J387" s="15"/>
      <c r="V387" s="15"/>
      <c r="W387" s="15"/>
    </row>
    <row r="388">
      <c r="J388" s="15"/>
      <c r="V388" s="15"/>
      <c r="W388" s="15"/>
    </row>
    <row r="389">
      <c r="J389" s="15"/>
      <c r="V389" s="15"/>
      <c r="W389" s="15"/>
    </row>
    <row r="390">
      <c r="J390" s="15"/>
      <c r="V390" s="15"/>
      <c r="W390" s="15"/>
    </row>
    <row r="391">
      <c r="J391" s="15"/>
      <c r="V391" s="15"/>
      <c r="W391" s="15"/>
    </row>
    <row r="392">
      <c r="J392" s="15"/>
      <c r="V392" s="15"/>
      <c r="W392" s="15"/>
    </row>
    <row r="393">
      <c r="J393" s="15"/>
      <c r="V393" s="15"/>
      <c r="W393" s="15"/>
    </row>
    <row r="394">
      <c r="J394" s="15"/>
      <c r="V394" s="15"/>
      <c r="W394" s="15"/>
    </row>
    <row r="395">
      <c r="J395" s="15"/>
      <c r="V395" s="15"/>
      <c r="W395" s="15"/>
    </row>
    <row r="396">
      <c r="J396" s="15"/>
      <c r="V396" s="15"/>
      <c r="W396" s="15"/>
    </row>
    <row r="397">
      <c r="J397" s="15"/>
      <c r="V397" s="15"/>
      <c r="W397" s="15"/>
    </row>
    <row r="398">
      <c r="J398" s="15"/>
      <c r="V398" s="15"/>
      <c r="W398" s="15"/>
    </row>
    <row r="399">
      <c r="J399" s="15"/>
      <c r="V399" s="15"/>
      <c r="W399" s="15"/>
    </row>
    <row r="400">
      <c r="J400" s="15"/>
      <c r="V400" s="15"/>
      <c r="W400" s="15"/>
    </row>
    <row r="401">
      <c r="J401" s="15"/>
      <c r="V401" s="15"/>
      <c r="W401" s="15"/>
    </row>
    <row r="402">
      <c r="J402" s="15"/>
      <c r="V402" s="15"/>
      <c r="W402" s="15"/>
    </row>
    <row r="403">
      <c r="J403" s="15"/>
      <c r="V403" s="15"/>
      <c r="W403" s="15"/>
    </row>
    <row r="404">
      <c r="J404" s="15"/>
      <c r="V404" s="15"/>
      <c r="W404" s="15"/>
    </row>
    <row r="405">
      <c r="J405" s="15"/>
      <c r="V405" s="15"/>
      <c r="W405" s="15"/>
    </row>
    <row r="406">
      <c r="J406" s="15"/>
      <c r="V406" s="15"/>
      <c r="W406" s="15"/>
    </row>
    <row r="407">
      <c r="J407" s="15"/>
      <c r="V407" s="15"/>
      <c r="W407" s="15"/>
    </row>
    <row r="408">
      <c r="J408" s="15"/>
      <c r="V408" s="15"/>
      <c r="W408" s="15"/>
    </row>
    <row r="409">
      <c r="J409" s="15"/>
      <c r="V409" s="15"/>
      <c r="W409" s="15"/>
    </row>
    <row r="410">
      <c r="J410" s="15"/>
      <c r="V410" s="15"/>
      <c r="W410" s="15"/>
    </row>
    <row r="411">
      <c r="J411" s="15"/>
      <c r="V411" s="15"/>
      <c r="W411" s="15"/>
    </row>
    <row r="412">
      <c r="J412" s="15"/>
      <c r="V412" s="15"/>
      <c r="W412" s="15"/>
    </row>
    <row r="413">
      <c r="J413" s="15"/>
      <c r="V413" s="15"/>
      <c r="W413" s="15"/>
    </row>
    <row r="414">
      <c r="J414" s="15"/>
      <c r="V414" s="15"/>
      <c r="W414" s="15"/>
    </row>
    <row r="415">
      <c r="J415" s="15"/>
      <c r="V415" s="15"/>
      <c r="W415" s="15"/>
    </row>
    <row r="416">
      <c r="J416" s="15"/>
      <c r="V416" s="15"/>
      <c r="W416" s="15"/>
    </row>
    <row r="417">
      <c r="J417" s="15"/>
      <c r="V417" s="15"/>
      <c r="W417" s="15"/>
    </row>
    <row r="418">
      <c r="J418" s="15"/>
      <c r="V418" s="15"/>
      <c r="W418" s="15"/>
    </row>
    <row r="419">
      <c r="J419" s="15"/>
      <c r="V419" s="15"/>
      <c r="W419" s="15"/>
    </row>
    <row r="420">
      <c r="J420" s="15"/>
      <c r="V420" s="15"/>
      <c r="W420" s="15"/>
    </row>
    <row r="421">
      <c r="J421" s="15"/>
      <c r="V421" s="15"/>
      <c r="W421" s="15"/>
    </row>
    <row r="422">
      <c r="J422" s="15"/>
      <c r="V422" s="15"/>
      <c r="W422" s="15"/>
    </row>
    <row r="423">
      <c r="J423" s="15"/>
      <c r="V423" s="15"/>
      <c r="W423" s="15"/>
    </row>
    <row r="424">
      <c r="J424" s="15"/>
      <c r="V424" s="15"/>
      <c r="W424" s="15"/>
    </row>
    <row r="425">
      <c r="J425" s="15"/>
      <c r="V425" s="15"/>
      <c r="W425" s="15"/>
    </row>
    <row r="426">
      <c r="J426" s="15"/>
      <c r="V426" s="15"/>
      <c r="W426" s="15"/>
    </row>
    <row r="427">
      <c r="J427" s="15"/>
      <c r="V427" s="15"/>
      <c r="W427" s="15"/>
    </row>
    <row r="428">
      <c r="J428" s="15"/>
      <c r="V428" s="15"/>
      <c r="W428" s="15"/>
    </row>
    <row r="429">
      <c r="J429" s="15"/>
      <c r="V429" s="15"/>
      <c r="W429" s="15"/>
    </row>
    <row r="430">
      <c r="J430" s="15"/>
      <c r="V430" s="15"/>
      <c r="W430" s="15"/>
    </row>
    <row r="431">
      <c r="J431" s="15"/>
      <c r="V431" s="15"/>
      <c r="W431" s="15"/>
    </row>
    <row r="432">
      <c r="J432" s="15"/>
      <c r="V432" s="15"/>
      <c r="W432" s="15"/>
    </row>
    <row r="433">
      <c r="J433" s="15"/>
      <c r="V433" s="15"/>
      <c r="W433" s="15"/>
    </row>
    <row r="434">
      <c r="J434" s="15"/>
      <c r="V434" s="15"/>
      <c r="W434" s="15"/>
    </row>
    <row r="435">
      <c r="J435" s="15"/>
      <c r="V435" s="15"/>
      <c r="W435" s="15"/>
    </row>
    <row r="436">
      <c r="J436" s="15"/>
      <c r="V436" s="15"/>
      <c r="W436" s="15"/>
    </row>
    <row r="437">
      <c r="J437" s="15"/>
      <c r="V437" s="15"/>
      <c r="W437" s="15"/>
    </row>
    <row r="438">
      <c r="J438" s="15"/>
      <c r="V438" s="15"/>
      <c r="W438" s="15"/>
    </row>
    <row r="439">
      <c r="J439" s="15"/>
      <c r="V439" s="15"/>
      <c r="W439" s="15"/>
    </row>
    <row r="440">
      <c r="J440" s="15"/>
      <c r="V440" s="15"/>
      <c r="W440" s="15"/>
    </row>
    <row r="441">
      <c r="J441" s="15"/>
      <c r="V441" s="15"/>
      <c r="W441" s="15"/>
    </row>
    <row r="442">
      <c r="J442" s="15"/>
      <c r="V442" s="15"/>
      <c r="W442" s="15"/>
    </row>
    <row r="443">
      <c r="J443" s="15"/>
      <c r="V443" s="15"/>
      <c r="W443" s="15"/>
    </row>
    <row r="444">
      <c r="J444" s="15"/>
      <c r="V444" s="15"/>
      <c r="W444" s="15"/>
    </row>
    <row r="445">
      <c r="J445" s="15"/>
      <c r="V445" s="15"/>
      <c r="W445" s="15"/>
    </row>
    <row r="446">
      <c r="J446" s="15"/>
      <c r="V446" s="15"/>
      <c r="W446" s="15"/>
    </row>
    <row r="447">
      <c r="J447" s="15"/>
      <c r="V447" s="15"/>
      <c r="W447" s="15"/>
    </row>
    <row r="448">
      <c r="J448" s="15"/>
      <c r="V448" s="15"/>
      <c r="W448" s="15"/>
    </row>
    <row r="449">
      <c r="J449" s="15"/>
      <c r="V449" s="15"/>
      <c r="W449" s="15"/>
    </row>
    <row r="450">
      <c r="J450" s="15"/>
      <c r="V450" s="15"/>
      <c r="W450" s="15"/>
    </row>
    <row r="451">
      <c r="J451" s="15"/>
      <c r="V451" s="15"/>
      <c r="W451" s="15"/>
    </row>
    <row r="452">
      <c r="J452" s="15"/>
      <c r="V452" s="15"/>
      <c r="W452" s="15"/>
    </row>
    <row r="453">
      <c r="J453" s="15"/>
      <c r="V453" s="15"/>
      <c r="W453" s="15"/>
    </row>
    <row r="454">
      <c r="J454" s="15"/>
      <c r="V454" s="15"/>
      <c r="W454" s="15"/>
    </row>
    <row r="455">
      <c r="J455" s="15"/>
      <c r="V455" s="15"/>
      <c r="W455" s="15"/>
    </row>
    <row r="456">
      <c r="J456" s="15"/>
      <c r="V456" s="15"/>
      <c r="W456" s="15"/>
    </row>
    <row r="457">
      <c r="J457" s="15"/>
      <c r="V457" s="15"/>
      <c r="W457" s="15"/>
    </row>
    <row r="458">
      <c r="J458" s="15"/>
      <c r="V458" s="15"/>
      <c r="W458" s="15"/>
    </row>
    <row r="459">
      <c r="J459" s="15"/>
      <c r="V459" s="15"/>
      <c r="W459" s="15"/>
    </row>
    <row r="460">
      <c r="J460" s="15"/>
      <c r="V460" s="15"/>
      <c r="W460" s="15"/>
    </row>
    <row r="461">
      <c r="J461" s="15"/>
      <c r="V461" s="15"/>
      <c r="W461" s="15"/>
    </row>
    <row r="462">
      <c r="J462" s="15"/>
      <c r="V462" s="15"/>
      <c r="W462" s="15"/>
    </row>
    <row r="463">
      <c r="J463" s="15"/>
      <c r="V463" s="15"/>
      <c r="W463" s="15"/>
    </row>
    <row r="464">
      <c r="J464" s="15"/>
      <c r="V464" s="15"/>
      <c r="W464" s="15"/>
    </row>
    <row r="465">
      <c r="J465" s="15"/>
      <c r="V465" s="15"/>
      <c r="W465" s="15"/>
    </row>
    <row r="466">
      <c r="J466" s="15"/>
      <c r="V466" s="15"/>
      <c r="W466" s="15"/>
    </row>
    <row r="467">
      <c r="J467" s="15"/>
      <c r="V467" s="15"/>
      <c r="W467" s="15"/>
    </row>
    <row r="468">
      <c r="J468" s="15"/>
      <c r="V468" s="15"/>
      <c r="W468" s="15"/>
    </row>
    <row r="469">
      <c r="J469" s="15"/>
      <c r="V469" s="15"/>
      <c r="W469" s="15"/>
    </row>
    <row r="470">
      <c r="J470" s="15"/>
      <c r="V470" s="15"/>
      <c r="W470" s="15"/>
    </row>
    <row r="471">
      <c r="J471" s="15"/>
      <c r="V471" s="15"/>
      <c r="W471" s="15"/>
    </row>
    <row r="472">
      <c r="J472" s="15"/>
      <c r="V472" s="15"/>
      <c r="W472" s="15"/>
    </row>
    <row r="473">
      <c r="J473" s="15"/>
      <c r="V473" s="15"/>
      <c r="W473" s="15"/>
    </row>
    <row r="474">
      <c r="J474" s="15"/>
      <c r="V474" s="15"/>
      <c r="W474" s="15"/>
    </row>
    <row r="475">
      <c r="J475" s="15"/>
      <c r="V475" s="15"/>
      <c r="W475" s="15"/>
    </row>
    <row r="476">
      <c r="J476" s="15"/>
      <c r="V476" s="15"/>
      <c r="W476" s="15"/>
    </row>
    <row r="477">
      <c r="J477" s="15"/>
      <c r="V477" s="15"/>
      <c r="W477" s="15"/>
    </row>
    <row r="478">
      <c r="J478" s="15"/>
      <c r="V478" s="15"/>
      <c r="W478" s="15"/>
    </row>
    <row r="479">
      <c r="J479" s="15"/>
      <c r="V479" s="15"/>
      <c r="W479" s="15"/>
    </row>
    <row r="480">
      <c r="J480" s="15"/>
      <c r="V480" s="15"/>
      <c r="W480" s="15"/>
    </row>
    <row r="481">
      <c r="J481" s="15"/>
      <c r="V481" s="15"/>
      <c r="W481" s="15"/>
    </row>
    <row r="482">
      <c r="J482" s="15"/>
      <c r="V482" s="15"/>
      <c r="W482" s="15"/>
    </row>
    <row r="483">
      <c r="J483" s="15"/>
      <c r="V483" s="15"/>
      <c r="W483" s="15"/>
    </row>
    <row r="484">
      <c r="J484" s="15"/>
      <c r="V484" s="15"/>
      <c r="W484" s="15"/>
    </row>
    <row r="485">
      <c r="J485" s="15"/>
      <c r="V485" s="15"/>
      <c r="W485" s="15"/>
    </row>
    <row r="486">
      <c r="J486" s="15"/>
      <c r="V486" s="15"/>
      <c r="W486" s="15"/>
    </row>
    <row r="487">
      <c r="J487" s="15"/>
      <c r="V487" s="15"/>
      <c r="W487" s="15"/>
    </row>
    <row r="488">
      <c r="J488" s="15"/>
      <c r="V488" s="15"/>
      <c r="W488" s="15"/>
    </row>
    <row r="489">
      <c r="J489" s="15"/>
      <c r="V489" s="15"/>
      <c r="W489" s="15"/>
    </row>
    <row r="490">
      <c r="J490" s="15"/>
      <c r="V490" s="15"/>
      <c r="W490" s="15"/>
    </row>
    <row r="491">
      <c r="J491" s="15"/>
      <c r="V491" s="15"/>
      <c r="W491" s="15"/>
    </row>
    <row r="492">
      <c r="J492" s="15"/>
      <c r="V492" s="15"/>
      <c r="W492" s="15"/>
    </row>
    <row r="493">
      <c r="J493" s="15"/>
      <c r="V493" s="15"/>
      <c r="W493" s="15"/>
    </row>
    <row r="494">
      <c r="J494" s="15"/>
      <c r="V494" s="15"/>
      <c r="W494" s="15"/>
    </row>
    <row r="495">
      <c r="J495" s="15"/>
      <c r="V495" s="15"/>
      <c r="W495" s="15"/>
    </row>
    <row r="496">
      <c r="J496" s="15"/>
      <c r="V496" s="15"/>
      <c r="W496" s="15"/>
    </row>
    <row r="497">
      <c r="J497" s="15"/>
      <c r="V497" s="15"/>
      <c r="W497" s="15"/>
    </row>
    <row r="498">
      <c r="J498" s="15"/>
      <c r="V498" s="15"/>
      <c r="W498" s="15"/>
    </row>
    <row r="499">
      <c r="J499" s="15"/>
      <c r="V499" s="15"/>
      <c r="W499" s="15"/>
    </row>
    <row r="500">
      <c r="J500" s="15"/>
      <c r="V500" s="15"/>
      <c r="W500" s="15"/>
    </row>
    <row r="501">
      <c r="J501" s="15"/>
      <c r="V501" s="15"/>
      <c r="W501" s="15"/>
    </row>
    <row r="502">
      <c r="J502" s="15"/>
      <c r="V502" s="15"/>
      <c r="W502" s="15"/>
    </row>
    <row r="503">
      <c r="J503" s="15"/>
      <c r="V503" s="15"/>
      <c r="W503" s="15"/>
    </row>
    <row r="504">
      <c r="J504" s="15"/>
      <c r="V504" s="15"/>
      <c r="W504" s="15"/>
    </row>
    <row r="505">
      <c r="J505" s="15"/>
      <c r="V505" s="15"/>
      <c r="W505" s="15"/>
    </row>
    <row r="506">
      <c r="J506" s="15"/>
      <c r="V506" s="15"/>
      <c r="W506" s="15"/>
    </row>
    <row r="507">
      <c r="J507" s="15"/>
      <c r="V507" s="15"/>
      <c r="W507" s="15"/>
    </row>
    <row r="508">
      <c r="J508" s="15"/>
      <c r="V508" s="15"/>
      <c r="W508" s="15"/>
    </row>
    <row r="509">
      <c r="J509" s="15"/>
      <c r="V509" s="15"/>
      <c r="W509" s="15"/>
    </row>
    <row r="510">
      <c r="J510" s="15"/>
      <c r="V510" s="15"/>
      <c r="W510" s="15"/>
    </row>
    <row r="511">
      <c r="J511" s="15"/>
      <c r="V511" s="15"/>
      <c r="W511" s="15"/>
    </row>
    <row r="512">
      <c r="J512" s="15"/>
      <c r="V512" s="15"/>
      <c r="W512" s="15"/>
    </row>
    <row r="513">
      <c r="J513" s="15"/>
      <c r="V513" s="15"/>
      <c r="W513" s="15"/>
    </row>
    <row r="514">
      <c r="J514" s="15"/>
      <c r="V514" s="15"/>
      <c r="W514" s="15"/>
    </row>
    <row r="515">
      <c r="J515" s="15"/>
      <c r="V515" s="15"/>
      <c r="W515" s="15"/>
    </row>
    <row r="516">
      <c r="J516" s="15"/>
      <c r="V516" s="15"/>
      <c r="W516" s="15"/>
    </row>
    <row r="517">
      <c r="J517" s="15"/>
      <c r="V517" s="15"/>
      <c r="W517" s="15"/>
    </row>
    <row r="518">
      <c r="J518" s="15"/>
      <c r="V518" s="15"/>
      <c r="W518" s="15"/>
    </row>
    <row r="519">
      <c r="J519" s="15"/>
      <c r="V519" s="15"/>
      <c r="W519" s="15"/>
    </row>
    <row r="520">
      <c r="J520" s="15"/>
      <c r="V520" s="15"/>
      <c r="W520" s="15"/>
    </row>
    <row r="521">
      <c r="J521" s="15"/>
      <c r="V521" s="15"/>
      <c r="W521" s="15"/>
    </row>
    <row r="522">
      <c r="J522" s="15"/>
      <c r="V522" s="15"/>
      <c r="W522" s="15"/>
    </row>
    <row r="523">
      <c r="J523" s="15"/>
      <c r="V523" s="15"/>
      <c r="W523" s="15"/>
    </row>
    <row r="524">
      <c r="J524" s="15"/>
      <c r="V524" s="15"/>
      <c r="W524" s="15"/>
    </row>
    <row r="525">
      <c r="J525" s="15"/>
      <c r="V525" s="15"/>
      <c r="W525" s="15"/>
    </row>
    <row r="526">
      <c r="J526" s="15"/>
      <c r="V526" s="15"/>
      <c r="W526" s="15"/>
    </row>
    <row r="527">
      <c r="J527" s="15"/>
      <c r="V527" s="15"/>
      <c r="W527" s="15"/>
    </row>
    <row r="528">
      <c r="J528" s="15"/>
      <c r="V528" s="15"/>
      <c r="W528" s="15"/>
    </row>
    <row r="529">
      <c r="J529" s="15"/>
      <c r="V529" s="15"/>
      <c r="W529" s="15"/>
    </row>
    <row r="530">
      <c r="J530" s="15"/>
      <c r="V530" s="15"/>
      <c r="W530" s="15"/>
    </row>
    <row r="531">
      <c r="J531" s="15"/>
      <c r="V531" s="15"/>
      <c r="W531" s="15"/>
    </row>
    <row r="532">
      <c r="J532" s="15"/>
      <c r="V532" s="15"/>
      <c r="W532" s="15"/>
    </row>
    <row r="533">
      <c r="J533" s="15"/>
      <c r="V533" s="15"/>
      <c r="W533" s="15"/>
    </row>
    <row r="534">
      <c r="J534" s="15"/>
      <c r="V534" s="15"/>
      <c r="W534" s="15"/>
    </row>
    <row r="535">
      <c r="J535" s="15"/>
      <c r="V535" s="15"/>
      <c r="W535" s="15"/>
    </row>
    <row r="536">
      <c r="J536" s="15"/>
      <c r="V536" s="15"/>
      <c r="W536" s="15"/>
    </row>
    <row r="537">
      <c r="J537" s="15"/>
      <c r="V537" s="15"/>
      <c r="W537" s="15"/>
    </row>
    <row r="538">
      <c r="J538" s="15"/>
      <c r="V538" s="15"/>
      <c r="W538" s="15"/>
    </row>
    <row r="539">
      <c r="J539" s="15"/>
      <c r="V539" s="15"/>
      <c r="W539" s="15"/>
    </row>
    <row r="540">
      <c r="J540" s="15"/>
      <c r="V540" s="15"/>
      <c r="W540" s="15"/>
    </row>
    <row r="541">
      <c r="J541" s="15"/>
      <c r="V541" s="15"/>
      <c r="W541" s="15"/>
    </row>
    <row r="542">
      <c r="J542" s="15"/>
      <c r="V542" s="15"/>
      <c r="W542" s="15"/>
    </row>
    <row r="543">
      <c r="J543" s="15"/>
      <c r="V543" s="15"/>
      <c r="W543" s="15"/>
    </row>
    <row r="544">
      <c r="J544" s="15"/>
      <c r="V544" s="15"/>
      <c r="W544" s="15"/>
    </row>
    <row r="545">
      <c r="J545" s="15"/>
      <c r="V545" s="15"/>
      <c r="W545" s="15"/>
    </row>
    <row r="546">
      <c r="J546" s="15"/>
      <c r="V546" s="15"/>
      <c r="W546" s="15"/>
    </row>
    <row r="547">
      <c r="J547" s="15"/>
      <c r="V547" s="15"/>
      <c r="W547" s="15"/>
    </row>
    <row r="548">
      <c r="J548" s="15"/>
      <c r="V548" s="15"/>
      <c r="W548" s="15"/>
    </row>
    <row r="549">
      <c r="J549" s="15"/>
      <c r="V549" s="15"/>
      <c r="W549" s="15"/>
    </row>
    <row r="550">
      <c r="J550" s="15"/>
      <c r="V550" s="15"/>
      <c r="W550" s="15"/>
    </row>
    <row r="551">
      <c r="J551" s="15"/>
      <c r="V551" s="15"/>
      <c r="W551" s="15"/>
    </row>
    <row r="552">
      <c r="J552" s="15"/>
      <c r="V552" s="15"/>
      <c r="W552" s="15"/>
    </row>
    <row r="553">
      <c r="J553" s="15"/>
      <c r="V553" s="15"/>
      <c r="W553" s="15"/>
    </row>
    <row r="554">
      <c r="J554" s="15"/>
      <c r="V554" s="15"/>
      <c r="W554" s="15"/>
    </row>
    <row r="555">
      <c r="J555" s="15"/>
      <c r="V555" s="15"/>
      <c r="W555" s="15"/>
    </row>
    <row r="556">
      <c r="J556" s="15"/>
      <c r="V556" s="15"/>
      <c r="W556" s="15"/>
    </row>
    <row r="557">
      <c r="J557" s="15"/>
      <c r="V557" s="15"/>
      <c r="W557" s="15"/>
    </row>
    <row r="558">
      <c r="J558" s="15"/>
      <c r="V558" s="15"/>
      <c r="W558" s="15"/>
    </row>
    <row r="559">
      <c r="J559" s="15"/>
      <c r="V559" s="15"/>
      <c r="W559" s="15"/>
    </row>
    <row r="560">
      <c r="J560" s="15"/>
      <c r="V560" s="15"/>
      <c r="W560" s="15"/>
    </row>
    <row r="561">
      <c r="J561" s="15"/>
      <c r="V561" s="15"/>
      <c r="W561" s="15"/>
    </row>
    <row r="562">
      <c r="J562" s="15"/>
      <c r="V562" s="15"/>
      <c r="W562" s="15"/>
    </row>
    <row r="563">
      <c r="J563" s="15"/>
      <c r="V563" s="15"/>
      <c r="W563" s="15"/>
    </row>
    <row r="564">
      <c r="J564" s="15"/>
      <c r="V564" s="15"/>
      <c r="W564" s="15"/>
    </row>
    <row r="565">
      <c r="J565" s="15"/>
      <c r="V565" s="15"/>
      <c r="W565" s="15"/>
    </row>
    <row r="566">
      <c r="J566" s="15"/>
      <c r="V566" s="15"/>
      <c r="W566" s="15"/>
    </row>
    <row r="567">
      <c r="J567" s="15"/>
      <c r="V567" s="15"/>
      <c r="W567" s="15"/>
    </row>
    <row r="568">
      <c r="J568" s="15"/>
      <c r="V568" s="15"/>
      <c r="W568" s="15"/>
    </row>
    <row r="569">
      <c r="J569" s="15"/>
      <c r="V569" s="15"/>
      <c r="W569" s="15"/>
    </row>
    <row r="570">
      <c r="J570" s="15"/>
      <c r="V570" s="15"/>
      <c r="W570" s="15"/>
    </row>
    <row r="571">
      <c r="J571" s="15"/>
      <c r="V571" s="15"/>
      <c r="W571" s="15"/>
    </row>
    <row r="572">
      <c r="J572" s="15"/>
      <c r="V572" s="15"/>
      <c r="W572" s="15"/>
    </row>
    <row r="573">
      <c r="J573" s="15"/>
      <c r="V573" s="15"/>
      <c r="W573" s="15"/>
    </row>
    <row r="574">
      <c r="J574" s="15"/>
      <c r="V574" s="15"/>
      <c r="W574" s="15"/>
    </row>
    <row r="575">
      <c r="J575" s="15"/>
      <c r="V575" s="15"/>
      <c r="W575" s="15"/>
    </row>
    <row r="576">
      <c r="J576" s="15"/>
      <c r="V576" s="15"/>
      <c r="W576" s="15"/>
    </row>
    <row r="577">
      <c r="J577" s="15"/>
      <c r="V577" s="15"/>
      <c r="W577" s="15"/>
    </row>
    <row r="578">
      <c r="J578" s="15"/>
      <c r="V578" s="15"/>
      <c r="W578" s="15"/>
    </row>
    <row r="579">
      <c r="J579" s="15"/>
      <c r="V579" s="15"/>
      <c r="W579" s="15"/>
    </row>
    <row r="580">
      <c r="J580" s="15"/>
      <c r="V580" s="15"/>
      <c r="W580" s="15"/>
    </row>
    <row r="581">
      <c r="J581" s="15"/>
      <c r="V581" s="15"/>
      <c r="W581" s="15"/>
    </row>
    <row r="582">
      <c r="J582" s="15"/>
      <c r="V582" s="15"/>
      <c r="W582" s="15"/>
    </row>
    <row r="583">
      <c r="J583" s="15"/>
      <c r="V583" s="15"/>
      <c r="W583" s="15"/>
    </row>
    <row r="584">
      <c r="J584" s="15"/>
      <c r="V584" s="15"/>
      <c r="W584" s="15"/>
    </row>
    <row r="585">
      <c r="J585" s="15"/>
      <c r="V585" s="15"/>
      <c r="W585" s="15"/>
    </row>
    <row r="586">
      <c r="J586" s="15"/>
      <c r="V586" s="15"/>
      <c r="W586" s="15"/>
    </row>
    <row r="587">
      <c r="J587" s="15"/>
      <c r="V587" s="15"/>
      <c r="W587" s="15"/>
    </row>
    <row r="588">
      <c r="J588" s="15"/>
      <c r="V588" s="15"/>
      <c r="W588" s="15"/>
    </row>
    <row r="589">
      <c r="J589" s="15"/>
      <c r="V589" s="15"/>
      <c r="W589" s="15"/>
    </row>
    <row r="590">
      <c r="J590" s="15"/>
      <c r="V590" s="15"/>
      <c r="W590" s="15"/>
    </row>
    <row r="591">
      <c r="J591" s="15"/>
      <c r="V591" s="15"/>
      <c r="W591" s="15"/>
    </row>
    <row r="592">
      <c r="J592" s="15"/>
      <c r="V592" s="15"/>
      <c r="W592" s="15"/>
    </row>
    <row r="593">
      <c r="J593" s="15"/>
      <c r="V593" s="15"/>
      <c r="W593" s="15"/>
    </row>
    <row r="594">
      <c r="J594" s="15"/>
      <c r="V594" s="15"/>
      <c r="W594" s="15"/>
    </row>
    <row r="595">
      <c r="J595" s="15"/>
      <c r="V595" s="15"/>
      <c r="W595" s="15"/>
    </row>
    <row r="596">
      <c r="J596" s="15"/>
      <c r="V596" s="15"/>
      <c r="W596" s="15"/>
    </row>
    <row r="597">
      <c r="J597" s="15"/>
      <c r="V597" s="15"/>
      <c r="W597" s="15"/>
    </row>
    <row r="598">
      <c r="J598" s="15"/>
      <c r="V598" s="15"/>
      <c r="W598" s="15"/>
    </row>
    <row r="599">
      <c r="J599" s="15"/>
      <c r="V599" s="15"/>
      <c r="W599" s="15"/>
    </row>
    <row r="600">
      <c r="J600" s="15"/>
      <c r="V600" s="15"/>
      <c r="W600" s="15"/>
    </row>
    <row r="601">
      <c r="J601" s="15"/>
      <c r="V601" s="15"/>
      <c r="W601" s="15"/>
    </row>
    <row r="602">
      <c r="J602" s="15"/>
      <c r="V602" s="15"/>
      <c r="W602" s="15"/>
    </row>
    <row r="603">
      <c r="J603" s="15"/>
      <c r="V603" s="15"/>
      <c r="W603" s="15"/>
    </row>
    <row r="604">
      <c r="J604" s="15"/>
      <c r="V604" s="15"/>
      <c r="W604" s="15"/>
    </row>
    <row r="605">
      <c r="J605" s="15"/>
      <c r="V605" s="15"/>
      <c r="W605" s="15"/>
    </row>
    <row r="606">
      <c r="J606" s="15"/>
      <c r="V606" s="15"/>
      <c r="W606" s="15"/>
    </row>
    <row r="607">
      <c r="J607" s="15"/>
      <c r="V607" s="15"/>
      <c r="W607" s="15"/>
    </row>
    <row r="608">
      <c r="J608" s="15"/>
      <c r="V608" s="15"/>
      <c r="W608" s="15"/>
    </row>
    <row r="609">
      <c r="J609" s="15"/>
      <c r="V609" s="15"/>
      <c r="W609" s="15"/>
    </row>
    <row r="610">
      <c r="J610" s="15"/>
      <c r="V610" s="15"/>
      <c r="W610" s="15"/>
    </row>
    <row r="611">
      <c r="J611" s="15"/>
      <c r="V611" s="15"/>
      <c r="W611" s="15"/>
    </row>
    <row r="612">
      <c r="J612" s="15"/>
      <c r="V612" s="15"/>
      <c r="W612" s="15"/>
    </row>
    <row r="613">
      <c r="J613" s="15"/>
      <c r="V613" s="15"/>
      <c r="W613" s="15"/>
    </row>
    <row r="614">
      <c r="J614" s="15"/>
      <c r="V614" s="15"/>
      <c r="W614" s="15"/>
    </row>
    <row r="615">
      <c r="J615" s="15"/>
      <c r="V615" s="15"/>
      <c r="W615" s="15"/>
    </row>
    <row r="616">
      <c r="J616" s="15"/>
      <c r="V616" s="15"/>
      <c r="W616" s="15"/>
    </row>
    <row r="617">
      <c r="J617" s="15"/>
      <c r="V617" s="15"/>
      <c r="W617" s="15"/>
    </row>
    <row r="618">
      <c r="J618" s="15"/>
      <c r="V618" s="15"/>
      <c r="W618" s="15"/>
    </row>
    <row r="619">
      <c r="J619" s="15"/>
      <c r="V619" s="15"/>
      <c r="W619" s="15"/>
    </row>
    <row r="620">
      <c r="J620" s="15"/>
      <c r="V620" s="15"/>
      <c r="W620" s="15"/>
    </row>
    <row r="621">
      <c r="J621" s="15"/>
      <c r="V621" s="15"/>
      <c r="W621" s="15"/>
    </row>
    <row r="622">
      <c r="J622" s="15"/>
      <c r="V622" s="15"/>
      <c r="W622" s="15"/>
    </row>
    <row r="623">
      <c r="J623" s="15"/>
      <c r="V623" s="15"/>
      <c r="W623" s="15"/>
    </row>
    <row r="624">
      <c r="J624" s="15"/>
      <c r="V624" s="15"/>
      <c r="W624" s="15"/>
    </row>
    <row r="625">
      <c r="J625" s="15"/>
      <c r="V625" s="15"/>
      <c r="W625" s="15"/>
    </row>
    <row r="626">
      <c r="J626" s="15"/>
      <c r="V626" s="15"/>
      <c r="W626" s="15"/>
    </row>
    <row r="627">
      <c r="J627" s="15"/>
      <c r="V627" s="15"/>
      <c r="W627" s="15"/>
    </row>
    <row r="628">
      <c r="J628" s="15"/>
      <c r="V628" s="15"/>
      <c r="W628" s="15"/>
    </row>
    <row r="629">
      <c r="J629" s="15"/>
      <c r="V629" s="15"/>
      <c r="W629" s="15"/>
    </row>
    <row r="630">
      <c r="J630" s="15"/>
      <c r="V630" s="15"/>
      <c r="W630" s="15"/>
    </row>
    <row r="631">
      <c r="J631" s="15"/>
      <c r="V631" s="15"/>
      <c r="W631" s="15"/>
    </row>
    <row r="632">
      <c r="J632" s="15"/>
      <c r="V632" s="15"/>
      <c r="W632" s="15"/>
    </row>
    <row r="633">
      <c r="J633" s="15"/>
      <c r="V633" s="15"/>
      <c r="W633" s="15"/>
    </row>
    <row r="634">
      <c r="J634" s="15"/>
      <c r="V634" s="15"/>
      <c r="W634" s="15"/>
    </row>
    <row r="635">
      <c r="J635" s="15"/>
      <c r="V635" s="15"/>
      <c r="W635" s="15"/>
    </row>
    <row r="636">
      <c r="J636" s="15"/>
      <c r="V636" s="15"/>
      <c r="W636" s="15"/>
    </row>
    <row r="637">
      <c r="J637" s="15"/>
      <c r="V637" s="15"/>
      <c r="W637" s="15"/>
    </row>
    <row r="638">
      <c r="J638" s="15"/>
      <c r="V638" s="15"/>
      <c r="W638" s="15"/>
    </row>
    <row r="639">
      <c r="J639" s="15"/>
      <c r="V639" s="15"/>
      <c r="W639" s="15"/>
    </row>
    <row r="640">
      <c r="J640" s="15"/>
      <c r="V640" s="15"/>
      <c r="W640" s="15"/>
    </row>
    <row r="641">
      <c r="J641" s="15"/>
      <c r="V641" s="15"/>
      <c r="W641" s="15"/>
    </row>
    <row r="642">
      <c r="J642" s="15"/>
      <c r="V642" s="15"/>
      <c r="W642" s="15"/>
    </row>
    <row r="643">
      <c r="J643" s="15"/>
      <c r="V643" s="15"/>
      <c r="W643" s="15"/>
    </row>
    <row r="644">
      <c r="J644" s="15"/>
      <c r="V644" s="15"/>
      <c r="W644" s="15"/>
    </row>
    <row r="645">
      <c r="J645" s="15"/>
      <c r="V645" s="15"/>
      <c r="W645" s="15"/>
    </row>
    <row r="646">
      <c r="J646" s="15"/>
      <c r="V646" s="15"/>
      <c r="W646" s="15"/>
    </row>
    <row r="647">
      <c r="J647" s="15"/>
      <c r="V647" s="15"/>
      <c r="W647" s="15"/>
    </row>
    <row r="648">
      <c r="J648" s="15"/>
      <c r="V648" s="15"/>
      <c r="W648" s="15"/>
    </row>
    <row r="649">
      <c r="J649" s="15"/>
      <c r="V649" s="15"/>
      <c r="W649" s="15"/>
    </row>
    <row r="650">
      <c r="J650" s="15"/>
      <c r="V650" s="15"/>
      <c r="W650" s="15"/>
    </row>
    <row r="651">
      <c r="J651" s="15"/>
      <c r="V651" s="15"/>
      <c r="W651" s="15"/>
    </row>
    <row r="652">
      <c r="J652" s="15"/>
      <c r="V652" s="15"/>
      <c r="W652" s="15"/>
    </row>
    <row r="653">
      <c r="J653" s="15"/>
      <c r="V653" s="15"/>
      <c r="W653" s="15"/>
    </row>
    <row r="654">
      <c r="J654" s="15"/>
      <c r="V654" s="15"/>
      <c r="W654" s="15"/>
    </row>
    <row r="655">
      <c r="J655" s="15"/>
      <c r="V655" s="15"/>
      <c r="W655" s="15"/>
    </row>
    <row r="656">
      <c r="J656" s="15"/>
      <c r="V656" s="15"/>
      <c r="W656" s="15"/>
    </row>
    <row r="657">
      <c r="J657" s="15"/>
      <c r="V657" s="15"/>
      <c r="W657" s="15"/>
    </row>
    <row r="658">
      <c r="J658" s="15"/>
      <c r="V658" s="15"/>
      <c r="W658" s="15"/>
    </row>
    <row r="659">
      <c r="J659" s="15"/>
      <c r="V659" s="15"/>
      <c r="W659" s="15"/>
    </row>
    <row r="660">
      <c r="J660" s="15"/>
      <c r="V660" s="15"/>
      <c r="W660" s="15"/>
    </row>
    <row r="661">
      <c r="J661" s="15"/>
      <c r="V661" s="15"/>
      <c r="W661" s="15"/>
    </row>
    <row r="662">
      <c r="J662" s="15"/>
      <c r="V662" s="15"/>
      <c r="W662" s="15"/>
    </row>
    <row r="663">
      <c r="J663" s="15"/>
      <c r="V663" s="15"/>
      <c r="W663" s="15"/>
    </row>
    <row r="664">
      <c r="J664" s="15"/>
      <c r="V664" s="15"/>
      <c r="W664" s="15"/>
    </row>
    <row r="665">
      <c r="J665" s="15"/>
      <c r="V665" s="15"/>
      <c r="W665" s="15"/>
    </row>
    <row r="666">
      <c r="J666" s="15"/>
      <c r="V666" s="15"/>
      <c r="W666" s="15"/>
    </row>
    <row r="667">
      <c r="J667" s="15"/>
      <c r="V667" s="15"/>
      <c r="W667" s="15"/>
    </row>
    <row r="668">
      <c r="J668" s="15"/>
      <c r="V668" s="15"/>
      <c r="W668" s="15"/>
    </row>
    <row r="669">
      <c r="J669" s="15"/>
      <c r="V669" s="15"/>
      <c r="W669" s="15"/>
    </row>
    <row r="670">
      <c r="J670" s="15"/>
      <c r="V670" s="15"/>
      <c r="W670" s="15"/>
    </row>
    <row r="671">
      <c r="J671" s="15"/>
      <c r="V671" s="15"/>
      <c r="W671" s="15"/>
    </row>
    <row r="672">
      <c r="J672" s="15"/>
      <c r="V672" s="15"/>
      <c r="W672" s="15"/>
    </row>
    <row r="673">
      <c r="J673" s="15"/>
      <c r="V673" s="15"/>
      <c r="W673" s="15"/>
    </row>
    <row r="674">
      <c r="J674" s="15"/>
      <c r="V674" s="15"/>
      <c r="W674" s="15"/>
    </row>
    <row r="675">
      <c r="J675" s="15"/>
      <c r="V675" s="15"/>
      <c r="W675" s="15"/>
    </row>
    <row r="676">
      <c r="J676" s="15"/>
      <c r="V676" s="15"/>
      <c r="W676" s="15"/>
    </row>
    <row r="677">
      <c r="J677" s="15"/>
      <c r="V677" s="15"/>
      <c r="W677" s="15"/>
    </row>
    <row r="678">
      <c r="J678" s="15"/>
      <c r="V678" s="15"/>
      <c r="W678" s="15"/>
    </row>
    <row r="679">
      <c r="J679" s="15"/>
      <c r="V679" s="15"/>
      <c r="W679" s="15"/>
    </row>
    <row r="680">
      <c r="J680" s="15"/>
      <c r="V680" s="15"/>
      <c r="W680" s="15"/>
    </row>
    <row r="681">
      <c r="J681" s="15"/>
      <c r="V681" s="15"/>
      <c r="W681" s="15"/>
    </row>
    <row r="682">
      <c r="J682" s="15"/>
      <c r="V682" s="15"/>
      <c r="W682" s="15"/>
    </row>
    <row r="683">
      <c r="J683" s="15"/>
      <c r="V683" s="15"/>
      <c r="W683" s="15"/>
    </row>
    <row r="684">
      <c r="J684" s="15"/>
      <c r="V684" s="15"/>
      <c r="W684" s="15"/>
    </row>
    <row r="685">
      <c r="J685" s="15"/>
      <c r="V685" s="15"/>
      <c r="W685" s="15"/>
    </row>
    <row r="686">
      <c r="J686" s="15"/>
      <c r="V686" s="15"/>
      <c r="W686" s="15"/>
    </row>
    <row r="687">
      <c r="J687" s="15"/>
      <c r="V687" s="15"/>
      <c r="W687" s="15"/>
    </row>
    <row r="688">
      <c r="J688" s="15"/>
      <c r="V688" s="15"/>
      <c r="W688" s="15"/>
    </row>
    <row r="689">
      <c r="J689" s="15"/>
      <c r="V689" s="15"/>
      <c r="W689" s="15"/>
    </row>
    <row r="690">
      <c r="J690" s="15"/>
      <c r="V690" s="15"/>
      <c r="W690" s="15"/>
    </row>
    <row r="691">
      <c r="J691" s="15"/>
      <c r="V691" s="15"/>
      <c r="W691" s="15"/>
    </row>
    <row r="692">
      <c r="J692" s="15"/>
      <c r="V692" s="15"/>
      <c r="W692" s="15"/>
    </row>
    <row r="693">
      <c r="J693" s="15"/>
      <c r="V693" s="15"/>
      <c r="W693" s="15"/>
    </row>
    <row r="694">
      <c r="J694" s="15"/>
      <c r="V694" s="15"/>
      <c r="W694" s="15"/>
    </row>
    <row r="695">
      <c r="J695" s="15"/>
      <c r="V695" s="15"/>
      <c r="W695" s="15"/>
    </row>
    <row r="696">
      <c r="J696" s="15"/>
      <c r="V696" s="15"/>
      <c r="W696" s="15"/>
    </row>
    <row r="697">
      <c r="J697" s="15"/>
      <c r="V697" s="15"/>
      <c r="W697" s="15"/>
    </row>
    <row r="698">
      <c r="J698" s="15"/>
      <c r="V698" s="15"/>
      <c r="W698" s="15"/>
    </row>
    <row r="699">
      <c r="J699" s="15"/>
      <c r="V699" s="15"/>
      <c r="W699" s="15"/>
    </row>
    <row r="700">
      <c r="J700" s="15"/>
      <c r="V700" s="15"/>
      <c r="W700" s="15"/>
    </row>
    <row r="701">
      <c r="J701" s="15"/>
      <c r="V701" s="15"/>
      <c r="W701" s="15"/>
    </row>
    <row r="702">
      <c r="J702" s="15"/>
      <c r="V702" s="15"/>
      <c r="W702" s="15"/>
    </row>
    <row r="703">
      <c r="J703" s="15"/>
      <c r="V703" s="15"/>
      <c r="W703" s="15"/>
    </row>
    <row r="704">
      <c r="J704" s="15"/>
      <c r="V704" s="15"/>
      <c r="W704" s="15"/>
    </row>
    <row r="705">
      <c r="J705" s="15"/>
      <c r="V705" s="15"/>
      <c r="W705" s="15"/>
    </row>
    <row r="706">
      <c r="J706" s="15"/>
      <c r="V706" s="15"/>
      <c r="W706" s="15"/>
    </row>
    <row r="707">
      <c r="J707" s="15"/>
      <c r="V707" s="15"/>
      <c r="W707" s="15"/>
    </row>
    <row r="708">
      <c r="J708" s="15"/>
      <c r="V708" s="15"/>
      <c r="W708" s="15"/>
    </row>
    <row r="709">
      <c r="J709" s="15"/>
      <c r="V709" s="15"/>
      <c r="W709" s="15"/>
    </row>
    <row r="710">
      <c r="J710" s="15"/>
      <c r="V710" s="15"/>
      <c r="W710" s="15"/>
    </row>
    <row r="711">
      <c r="J711" s="15"/>
      <c r="V711" s="15"/>
      <c r="W711" s="15"/>
    </row>
    <row r="712">
      <c r="J712" s="15"/>
      <c r="V712" s="15"/>
      <c r="W712" s="15"/>
    </row>
    <row r="713">
      <c r="J713" s="15"/>
      <c r="V713" s="15"/>
      <c r="W713" s="15"/>
    </row>
    <row r="714">
      <c r="J714" s="15"/>
      <c r="V714" s="15"/>
      <c r="W714" s="15"/>
    </row>
    <row r="715">
      <c r="J715" s="15"/>
      <c r="V715" s="15"/>
      <c r="W715" s="15"/>
    </row>
    <row r="716">
      <c r="J716" s="15"/>
      <c r="V716" s="15"/>
      <c r="W716" s="15"/>
    </row>
    <row r="717">
      <c r="J717" s="15"/>
      <c r="V717" s="15"/>
      <c r="W717" s="15"/>
    </row>
    <row r="718">
      <c r="J718" s="15"/>
      <c r="V718" s="15"/>
      <c r="W718" s="15"/>
    </row>
    <row r="719">
      <c r="J719" s="15"/>
      <c r="V719" s="15"/>
      <c r="W719" s="15"/>
    </row>
    <row r="720">
      <c r="J720" s="15"/>
      <c r="V720" s="15"/>
      <c r="W720" s="15"/>
    </row>
    <row r="721">
      <c r="J721" s="15"/>
      <c r="V721" s="15"/>
      <c r="W721" s="15"/>
    </row>
    <row r="722">
      <c r="J722" s="15"/>
      <c r="V722" s="15"/>
      <c r="W722" s="15"/>
    </row>
    <row r="723">
      <c r="J723" s="15"/>
      <c r="V723" s="15"/>
      <c r="W723" s="15"/>
    </row>
    <row r="724">
      <c r="J724" s="15"/>
      <c r="V724" s="15"/>
      <c r="W724" s="15"/>
    </row>
    <row r="725">
      <c r="J725" s="15"/>
      <c r="V725" s="15"/>
      <c r="W725" s="15"/>
    </row>
    <row r="726">
      <c r="J726" s="15"/>
      <c r="V726" s="15"/>
      <c r="W726" s="15"/>
    </row>
    <row r="727">
      <c r="J727" s="15"/>
      <c r="V727" s="15"/>
      <c r="W727" s="15"/>
    </row>
    <row r="728">
      <c r="J728" s="15"/>
      <c r="V728" s="15"/>
      <c r="W728" s="15"/>
    </row>
    <row r="729">
      <c r="J729" s="15"/>
      <c r="V729" s="15"/>
      <c r="W729" s="15"/>
    </row>
    <row r="730">
      <c r="J730" s="15"/>
      <c r="V730" s="15"/>
      <c r="W730" s="15"/>
    </row>
    <row r="731">
      <c r="J731" s="15"/>
      <c r="V731" s="15"/>
      <c r="W731" s="15"/>
    </row>
    <row r="732">
      <c r="J732" s="15"/>
      <c r="V732" s="15"/>
      <c r="W732" s="15"/>
    </row>
    <row r="733">
      <c r="J733" s="15"/>
      <c r="V733" s="15"/>
      <c r="W733" s="15"/>
    </row>
    <row r="734">
      <c r="J734" s="15"/>
      <c r="V734" s="15"/>
      <c r="W734" s="15"/>
    </row>
    <row r="735">
      <c r="J735" s="15"/>
      <c r="V735" s="15"/>
      <c r="W735" s="15"/>
    </row>
    <row r="736">
      <c r="J736" s="15"/>
      <c r="V736" s="15"/>
      <c r="W736" s="15"/>
    </row>
    <row r="737">
      <c r="J737" s="15"/>
      <c r="V737" s="15"/>
      <c r="W737" s="15"/>
    </row>
    <row r="738">
      <c r="J738" s="15"/>
      <c r="V738" s="15"/>
      <c r="W738" s="15"/>
    </row>
    <row r="739">
      <c r="J739" s="15"/>
      <c r="V739" s="15"/>
      <c r="W739" s="15"/>
    </row>
    <row r="740">
      <c r="J740" s="15"/>
      <c r="V740" s="15"/>
      <c r="W740" s="15"/>
    </row>
    <row r="741">
      <c r="J741" s="15"/>
      <c r="V741" s="15"/>
      <c r="W741" s="15"/>
    </row>
    <row r="742">
      <c r="J742" s="15"/>
      <c r="V742" s="15"/>
      <c r="W742" s="15"/>
    </row>
    <row r="743">
      <c r="J743" s="15"/>
      <c r="V743" s="15"/>
      <c r="W743" s="15"/>
    </row>
    <row r="744">
      <c r="J744" s="15"/>
      <c r="V744" s="15"/>
      <c r="W744" s="15"/>
    </row>
    <row r="745">
      <c r="J745" s="15"/>
      <c r="V745" s="15"/>
      <c r="W745" s="15"/>
    </row>
    <row r="746">
      <c r="J746" s="15"/>
      <c r="V746" s="15"/>
      <c r="W746" s="15"/>
    </row>
    <row r="747">
      <c r="J747" s="15"/>
      <c r="V747" s="15"/>
      <c r="W747" s="15"/>
    </row>
    <row r="748">
      <c r="J748" s="15"/>
      <c r="V748" s="15"/>
      <c r="W748" s="15"/>
    </row>
    <row r="749">
      <c r="J749" s="15"/>
      <c r="V749" s="15"/>
      <c r="W749" s="15"/>
    </row>
    <row r="750">
      <c r="J750" s="15"/>
      <c r="V750" s="15"/>
      <c r="W750" s="15"/>
    </row>
    <row r="751">
      <c r="J751" s="15"/>
      <c r="V751" s="15"/>
      <c r="W751" s="15"/>
    </row>
    <row r="752">
      <c r="J752" s="15"/>
      <c r="V752" s="15"/>
      <c r="W752" s="15"/>
    </row>
    <row r="753">
      <c r="J753" s="15"/>
      <c r="V753" s="15"/>
      <c r="W753" s="15"/>
    </row>
    <row r="754">
      <c r="J754" s="15"/>
      <c r="V754" s="15"/>
      <c r="W754" s="15"/>
    </row>
    <row r="755">
      <c r="J755" s="15"/>
      <c r="V755" s="15"/>
      <c r="W755" s="15"/>
    </row>
    <row r="756">
      <c r="J756" s="15"/>
      <c r="V756" s="15"/>
      <c r="W756" s="15"/>
    </row>
    <row r="757">
      <c r="J757" s="15"/>
      <c r="V757" s="15"/>
      <c r="W757" s="15"/>
    </row>
    <row r="758">
      <c r="J758" s="15"/>
      <c r="V758" s="15"/>
      <c r="W758" s="15"/>
    </row>
    <row r="759">
      <c r="J759" s="15"/>
      <c r="V759" s="15"/>
      <c r="W759" s="15"/>
    </row>
    <row r="760">
      <c r="J760" s="15"/>
      <c r="V760" s="15"/>
      <c r="W760" s="15"/>
    </row>
    <row r="761">
      <c r="J761" s="15"/>
      <c r="V761" s="15"/>
      <c r="W761" s="15"/>
    </row>
    <row r="762">
      <c r="J762" s="15"/>
      <c r="V762" s="15"/>
      <c r="W762" s="15"/>
    </row>
    <row r="763">
      <c r="J763" s="15"/>
      <c r="V763" s="15"/>
      <c r="W763" s="15"/>
    </row>
    <row r="764">
      <c r="J764" s="15"/>
      <c r="V764" s="15"/>
      <c r="W764" s="15"/>
    </row>
    <row r="765">
      <c r="J765" s="15"/>
      <c r="V765" s="15"/>
      <c r="W765" s="15"/>
    </row>
    <row r="766">
      <c r="J766" s="15"/>
      <c r="V766" s="15"/>
      <c r="W766" s="15"/>
    </row>
    <row r="767">
      <c r="J767" s="15"/>
      <c r="V767" s="15"/>
      <c r="W767" s="15"/>
    </row>
    <row r="768">
      <c r="J768" s="15"/>
      <c r="V768" s="15"/>
      <c r="W768" s="15"/>
    </row>
    <row r="769">
      <c r="J769" s="15"/>
      <c r="V769" s="15"/>
      <c r="W769" s="15"/>
    </row>
    <row r="770">
      <c r="J770" s="15"/>
      <c r="V770" s="15"/>
      <c r="W770" s="15"/>
    </row>
    <row r="771">
      <c r="J771" s="15"/>
      <c r="V771" s="15"/>
      <c r="W771" s="15"/>
    </row>
    <row r="772">
      <c r="J772" s="15"/>
      <c r="V772" s="15"/>
      <c r="W772" s="15"/>
    </row>
    <row r="773">
      <c r="J773" s="15"/>
      <c r="V773" s="15"/>
      <c r="W773" s="15"/>
    </row>
    <row r="774">
      <c r="J774" s="15"/>
      <c r="V774" s="15"/>
      <c r="W774" s="15"/>
    </row>
    <row r="775">
      <c r="J775" s="15"/>
      <c r="V775" s="15"/>
      <c r="W775" s="15"/>
    </row>
    <row r="776">
      <c r="J776" s="15"/>
      <c r="V776" s="15"/>
      <c r="W776" s="15"/>
    </row>
    <row r="777">
      <c r="J777" s="15"/>
      <c r="V777" s="15"/>
      <c r="W777" s="15"/>
    </row>
    <row r="778">
      <c r="J778" s="15"/>
      <c r="V778" s="15"/>
      <c r="W778" s="15"/>
    </row>
    <row r="779">
      <c r="J779" s="15"/>
      <c r="V779" s="15"/>
      <c r="W779" s="15"/>
    </row>
    <row r="780">
      <c r="J780" s="15"/>
      <c r="V780" s="15"/>
      <c r="W780" s="15"/>
    </row>
    <row r="781">
      <c r="J781" s="15"/>
      <c r="V781" s="15"/>
      <c r="W781" s="15"/>
    </row>
    <row r="782">
      <c r="J782" s="15"/>
      <c r="V782" s="15"/>
      <c r="W782" s="15"/>
    </row>
    <row r="783">
      <c r="J783" s="15"/>
      <c r="V783" s="15"/>
      <c r="W783" s="15"/>
    </row>
    <row r="784">
      <c r="J784" s="15"/>
      <c r="V784" s="15"/>
      <c r="W784" s="15"/>
    </row>
    <row r="785">
      <c r="J785" s="15"/>
      <c r="V785" s="15"/>
      <c r="W785" s="15"/>
    </row>
    <row r="786">
      <c r="J786" s="15"/>
      <c r="V786" s="15"/>
      <c r="W786" s="15"/>
    </row>
    <row r="787">
      <c r="J787" s="15"/>
      <c r="V787" s="15"/>
      <c r="W787" s="15"/>
    </row>
    <row r="788">
      <c r="J788" s="15"/>
      <c r="V788" s="15"/>
      <c r="W788" s="15"/>
    </row>
    <row r="789">
      <c r="J789" s="15"/>
      <c r="V789" s="15"/>
      <c r="W789" s="15"/>
    </row>
    <row r="790">
      <c r="J790" s="15"/>
      <c r="V790" s="15"/>
      <c r="W790" s="15"/>
    </row>
    <row r="791">
      <c r="J791" s="15"/>
      <c r="V791" s="15"/>
      <c r="W791" s="15"/>
    </row>
    <row r="792">
      <c r="J792" s="15"/>
      <c r="V792" s="15"/>
      <c r="W792" s="15"/>
    </row>
    <row r="793">
      <c r="J793" s="15"/>
      <c r="V793" s="15"/>
      <c r="W793" s="15"/>
    </row>
    <row r="794">
      <c r="J794" s="15"/>
      <c r="V794" s="15"/>
      <c r="W794" s="15"/>
    </row>
    <row r="795">
      <c r="J795" s="15"/>
      <c r="V795" s="15"/>
      <c r="W795" s="15"/>
    </row>
    <row r="796">
      <c r="J796" s="15"/>
      <c r="V796" s="15"/>
      <c r="W796" s="15"/>
    </row>
    <row r="797">
      <c r="J797" s="15"/>
      <c r="V797" s="15"/>
      <c r="W797" s="15"/>
    </row>
    <row r="798">
      <c r="J798" s="15"/>
      <c r="V798" s="15"/>
      <c r="W798" s="15"/>
    </row>
    <row r="799">
      <c r="J799" s="15"/>
      <c r="V799" s="15"/>
      <c r="W799" s="15"/>
    </row>
    <row r="800">
      <c r="J800" s="15"/>
      <c r="V800" s="15"/>
      <c r="W800" s="15"/>
    </row>
    <row r="801">
      <c r="J801" s="15"/>
      <c r="V801" s="15"/>
      <c r="W801" s="15"/>
    </row>
    <row r="802">
      <c r="J802" s="15"/>
      <c r="V802" s="15"/>
      <c r="W802" s="15"/>
    </row>
    <row r="803">
      <c r="J803" s="15"/>
      <c r="V803" s="15"/>
      <c r="W803" s="15"/>
    </row>
    <row r="804">
      <c r="J804" s="15"/>
      <c r="V804" s="15"/>
      <c r="W804" s="15"/>
    </row>
    <row r="805">
      <c r="J805" s="15"/>
      <c r="V805" s="15"/>
      <c r="W805" s="15"/>
    </row>
    <row r="806">
      <c r="J806" s="15"/>
      <c r="V806" s="15"/>
      <c r="W806" s="15"/>
    </row>
    <row r="807">
      <c r="J807" s="15"/>
      <c r="V807" s="15"/>
      <c r="W807" s="15"/>
    </row>
    <row r="808">
      <c r="J808" s="15"/>
      <c r="V808" s="15"/>
      <c r="W808" s="15"/>
    </row>
    <row r="809">
      <c r="J809" s="15"/>
      <c r="V809" s="15"/>
      <c r="W809" s="15"/>
    </row>
    <row r="810">
      <c r="J810" s="15"/>
      <c r="V810" s="15"/>
      <c r="W810" s="15"/>
    </row>
    <row r="811">
      <c r="J811" s="15"/>
      <c r="V811" s="15"/>
      <c r="W811" s="15"/>
    </row>
    <row r="812">
      <c r="J812" s="15"/>
      <c r="V812" s="15"/>
      <c r="W812" s="15"/>
    </row>
    <row r="813">
      <c r="J813" s="15"/>
      <c r="V813" s="15"/>
      <c r="W813" s="15"/>
    </row>
    <row r="814">
      <c r="J814" s="15"/>
      <c r="V814" s="15"/>
      <c r="W814" s="15"/>
    </row>
    <row r="815">
      <c r="J815" s="15"/>
      <c r="V815" s="15"/>
      <c r="W815" s="15"/>
    </row>
    <row r="816">
      <c r="J816" s="15"/>
      <c r="V816" s="15"/>
      <c r="W816" s="15"/>
    </row>
    <row r="817">
      <c r="J817" s="15"/>
      <c r="V817" s="15"/>
      <c r="W817" s="15"/>
    </row>
    <row r="818">
      <c r="J818" s="15"/>
      <c r="V818" s="15"/>
      <c r="W818" s="15"/>
    </row>
    <row r="819">
      <c r="J819" s="15"/>
      <c r="V819" s="15"/>
      <c r="W819" s="15"/>
    </row>
    <row r="820">
      <c r="J820" s="15"/>
      <c r="V820" s="15"/>
      <c r="W820" s="15"/>
    </row>
    <row r="821">
      <c r="J821" s="15"/>
      <c r="V821" s="15"/>
      <c r="W821" s="15"/>
    </row>
    <row r="822">
      <c r="J822" s="15"/>
      <c r="V822" s="15"/>
      <c r="W822" s="15"/>
    </row>
    <row r="823">
      <c r="J823" s="15"/>
      <c r="V823" s="15"/>
      <c r="W823" s="15"/>
    </row>
    <row r="824">
      <c r="J824" s="15"/>
      <c r="V824" s="15"/>
      <c r="W824" s="15"/>
    </row>
    <row r="825">
      <c r="J825" s="15"/>
      <c r="V825" s="15"/>
      <c r="W825" s="15"/>
    </row>
    <row r="826">
      <c r="J826" s="15"/>
      <c r="V826" s="15"/>
      <c r="W826" s="15"/>
    </row>
    <row r="827">
      <c r="J827" s="15"/>
      <c r="V827" s="15"/>
      <c r="W827" s="15"/>
    </row>
    <row r="828">
      <c r="J828" s="15"/>
      <c r="V828" s="15"/>
      <c r="W828" s="15"/>
    </row>
    <row r="829">
      <c r="J829" s="15"/>
      <c r="V829" s="15"/>
      <c r="W829" s="15"/>
    </row>
    <row r="830">
      <c r="J830" s="15"/>
      <c r="V830" s="15"/>
      <c r="W830" s="15"/>
    </row>
    <row r="831">
      <c r="J831" s="15"/>
      <c r="V831" s="15"/>
      <c r="W831" s="15"/>
    </row>
    <row r="832">
      <c r="J832" s="15"/>
      <c r="V832" s="15"/>
      <c r="W832" s="15"/>
    </row>
    <row r="833">
      <c r="J833" s="15"/>
      <c r="V833" s="15"/>
      <c r="W833" s="15"/>
    </row>
    <row r="834">
      <c r="J834" s="15"/>
      <c r="V834" s="15"/>
      <c r="W834" s="15"/>
    </row>
    <row r="835">
      <c r="J835" s="15"/>
      <c r="V835" s="15"/>
      <c r="W835" s="15"/>
    </row>
    <row r="836">
      <c r="J836" s="15"/>
      <c r="V836" s="15"/>
      <c r="W836" s="15"/>
    </row>
    <row r="837">
      <c r="J837" s="15"/>
      <c r="V837" s="15"/>
      <c r="W837" s="15"/>
    </row>
    <row r="838">
      <c r="J838" s="15"/>
      <c r="V838" s="15"/>
      <c r="W838" s="15"/>
    </row>
    <row r="839">
      <c r="J839" s="15"/>
      <c r="V839" s="15"/>
      <c r="W839" s="15"/>
    </row>
    <row r="840">
      <c r="J840" s="15"/>
      <c r="V840" s="15"/>
      <c r="W840" s="15"/>
    </row>
    <row r="841">
      <c r="J841" s="15"/>
      <c r="V841" s="15"/>
      <c r="W841" s="15"/>
    </row>
    <row r="842">
      <c r="J842" s="15"/>
      <c r="V842" s="15"/>
      <c r="W842" s="15"/>
    </row>
    <row r="843">
      <c r="J843" s="15"/>
      <c r="V843" s="15"/>
      <c r="W843" s="15"/>
    </row>
    <row r="844">
      <c r="J844" s="15"/>
      <c r="V844" s="15"/>
      <c r="W844" s="15"/>
    </row>
    <row r="845">
      <c r="J845" s="15"/>
      <c r="V845" s="15"/>
      <c r="W845" s="15"/>
    </row>
    <row r="846">
      <c r="J846" s="15"/>
      <c r="V846" s="15"/>
      <c r="W846" s="15"/>
    </row>
    <row r="847">
      <c r="J847" s="15"/>
      <c r="V847" s="15"/>
      <c r="W847" s="15"/>
    </row>
    <row r="848">
      <c r="J848" s="15"/>
      <c r="V848" s="15"/>
      <c r="W848" s="15"/>
    </row>
    <row r="849">
      <c r="J849" s="15"/>
      <c r="V849" s="15"/>
      <c r="W849" s="15"/>
    </row>
    <row r="850">
      <c r="J850" s="15"/>
      <c r="V850" s="15"/>
      <c r="W850" s="15"/>
    </row>
    <row r="851">
      <c r="J851" s="15"/>
      <c r="V851" s="15"/>
      <c r="W851" s="15"/>
    </row>
    <row r="852">
      <c r="J852" s="15"/>
      <c r="V852" s="15"/>
      <c r="W852" s="15"/>
    </row>
    <row r="853">
      <c r="J853" s="15"/>
      <c r="V853" s="15"/>
      <c r="W853" s="15"/>
    </row>
    <row r="854">
      <c r="J854" s="15"/>
      <c r="V854" s="15"/>
      <c r="W854" s="15"/>
    </row>
    <row r="855">
      <c r="J855" s="15"/>
      <c r="V855" s="15"/>
      <c r="W855" s="15"/>
    </row>
    <row r="856">
      <c r="J856" s="15"/>
      <c r="V856" s="15"/>
      <c r="W856" s="15"/>
    </row>
    <row r="857">
      <c r="J857" s="15"/>
      <c r="V857" s="15"/>
      <c r="W857" s="15"/>
    </row>
    <row r="858">
      <c r="J858" s="15"/>
      <c r="V858" s="15"/>
      <c r="W858" s="15"/>
    </row>
    <row r="859">
      <c r="J859" s="15"/>
      <c r="V859" s="15"/>
      <c r="W859" s="15"/>
    </row>
    <row r="860">
      <c r="J860" s="15"/>
      <c r="V860" s="15"/>
      <c r="W860" s="15"/>
    </row>
    <row r="861">
      <c r="J861" s="15"/>
      <c r="V861" s="15"/>
      <c r="W861" s="15"/>
    </row>
    <row r="862">
      <c r="J862" s="15"/>
      <c r="V862" s="15"/>
      <c r="W862" s="15"/>
    </row>
    <row r="863">
      <c r="J863" s="15"/>
      <c r="V863" s="15"/>
      <c r="W863" s="15"/>
    </row>
    <row r="864">
      <c r="J864" s="15"/>
      <c r="V864" s="15"/>
      <c r="W864" s="15"/>
    </row>
    <row r="865">
      <c r="J865" s="15"/>
      <c r="V865" s="15"/>
      <c r="W865" s="15"/>
    </row>
    <row r="866">
      <c r="J866" s="15"/>
      <c r="V866" s="15"/>
      <c r="W866" s="15"/>
    </row>
    <row r="867">
      <c r="J867" s="15"/>
      <c r="V867" s="15"/>
      <c r="W867" s="15"/>
    </row>
    <row r="868">
      <c r="J868" s="15"/>
      <c r="V868" s="15"/>
      <c r="W868" s="15"/>
    </row>
    <row r="869">
      <c r="J869" s="15"/>
      <c r="V869" s="15"/>
      <c r="W869" s="15"/>
    </row>
    <row r="870">
      <c r="J870" s="15"/>
      <c r="V870" s="15"/>
      <c r="W870" s="15"/>
    </row>
    <row r="871">
      <c r="J871" s="15"/>
      <c r="V871" s="15"/>
      <c r="W871" s="15"/>
    </row>
    <row r="872">
      <c r="J872" s="15"/>
      <c r="V872" s="15"/>
      <c r="W872" s="15"/>
    </row>
    <row r="873">
      <c r="J873" s="15"/>
      <c r="V873" s="15"/>
      <c r="W873" s="15"/>
    </row>
    <row r="874">
      <c r="J874" s="15"/>
      <c r="V874" s="15"/>
      <c r="W874" s="15"/>
    </row>
    <row r="875">
      <c r="J875" s="15"/>
      <c r="V875" s="15"/>
      <c r="W875" s="15"/>
    </row>
    <row r="876">
      <c r="J876" s="15"/>
      <c r="V876" s="15"/>
      <c r="W876" s="15"/>
    </row>
    <row r="877">
      <c r="J877" s="15"/>
      <c r="V877" s="15"/>
      <c r="W877" s="15"/>
    </row>
    <row r="878">
      <c r="J878" s="15"/>
      <c r="V878" s="15"/>
      <c r="W878" s="15"/>
    </row>
    <row r="879">
      <c r="J879" s="15"/>
      <c r="V879" s="15"/>
      <c r="W879" s="15"/>
    </row>
    <row r="880">
      <c r="J880" s="15"/>
      <c r="V880" s="15"/>
      <c r="W880" s="15"/>
    </row>
    <row r="881">
      <c r="J881" s="15"/>
      <c r="V881" s="15"/>
      <c r="W881" s="15"/>
    </row>
    <row r="882">
      <c r="J882" s="15"/>
      <c r="V882" s="15"/>
      <c r="W882" s="15"/>
    </row>
    <row r="883">
      <c r="J883" s="15"/>
      <c r="V883" s="15"/>
      <c r="W883" s="15"/>
    </row>
    <row r="884">
      <c r="J884" s="15"/>
      <c r="V884" s="15"/>
      <c r="W884" s="15"/>
    </row>
    <row r="885">
      <c r="J885" s="15"/>
      <c r="V885" s="15"/>
      <c r="W885" s="15"/>
    </row>
    <row r="886">
      <c r="J886" s="15"/>
      <c r="V886" s="15"/>
      <c r="W886" s="15"/>
    </row>
    <row r="887">
      <c r="J887" s="15"/>
      <c r="V887" s="15"/>
      <c r="W887" s="15"/>
    </row>
    <row r="888">
      <c r="J888" s="15"/>
      <c r="V888" s="15"/>
      <c r="W888" s="15"/>
    </row>
    <row r="889">
      <c r="J889" s="15"/>
      <c r="V889" s="15"/>
      <c r="W889" s="15"/>
    </row>
    <row r="890">
      <c r="J890" s="15"/>
      <c r="V890" s="15"/>
      <c r="W890" s="15"/>
    </row>
    <row r="891">
      <c r="J891" s="15"/>
      <c r="V891" s="15"/>
      <c r="W891" s="15"/>
    </row>
    <row r="892">
      <c r="J892" s="15"/>
      <c r="V892" s="15"/>
      <c r="W892" s="15"/>
    </row>
    <row r="893">
      <c r="J893" s="15"/>
      <c r="V893" s="15"/>
      <c r="W893" s="15"/>
    </row>
    <row r="894">
      <c r="J894" s="15"/>
      <c r="V894" s="15"/>
      <c r="W894" s="15"/>
    </row>
    <row r="895">
      <c r="J895" s="15"/>
      <c r="V895" s="15"/>
      <c r="W895" s="15"/>
    </row>
    <row r="896">
      <c r="J896" s="15"/>
      <c r="V896" s="15"/>
      <c r="W896" s="15"/>
    </row>
    <row r="897">
      <c r="J897" s="15"/>
      <c r="V897" s="15"/>
      <c r="W897" s="15"/>
    </row>
    <row r="898">
      <c r="J898" s="15"/>
      <c r="V898" s="15"/>
      <c r="W898" s="15"/>
    </row>
    <row r="899">
      <c r="J899" s="15"/>
      <c r="V899" s="15"/>
      <c r="W899" s="15"/>
    </row>
    <row r="900">
      <c r="J900" s="15"/>
      <c r="V900" s="15"/>
      <c r="W900" s="15"/>
    </row>
    <row r="901">
      <c r="J901" s="15"/>
      <c r="V901" s="15"/>
      <c r="W901" s="15"/>
    </row>
    <row r="902">
      <c r="J902" s="15"/>
      <c r="V902" s="15"/>
      <c r="W902" s="15"/>
    </row>
    <row r="903">
      <c r="J903" s="15"/>
      <c r="V903" s="15"/>
      <c r="W903" s="15"/>
    </row>
    <row r="904">
      <c r="J904" s="15"/>
      <c r="V904" s="15"/>
      <c r="W904" s="15"/>
    </row>
    <row r="905">
      <c r="J905" s="15"/>
      <c r="V905" s="15"/>
      <c r="W905" s="15"/>
    </row>
    <row r="906">
      <c r="J906" s="15"/>
      <c r="V906" s="15"/>
      <c r="W906" s="15"/>
    </row>
    <row r="907">
      <c r="J907" s="15"/>
      <c r="V907" s="15"/>
      <c r="W907" s="15"/>
    </row>
    <row r="908">
      <c r="J908" s="15"/>
      <c r="V908" s="15"/>
      <c r="W908" s="15"/>
    </row>
    <row r="909">
      <c r="J909" s="15"/>
      <c r="V909" s="15"/>
      <c r="W909" s="15"/>
    </row>
    <row r="910">
      <c r="J910" s="15"/>
      <c r="V910" s="15"/>
      <c r="W910" s="15"/>
    </row>
    <row r="911">
      <c r="J911" s="15"/>
      <c r="V911" s="15"/>
      <c r="W911" s="15"/>
    </row>
    <row r="912">
      <c r="J912" s="15"/>
      <c r="V912" s="15"/>
      <c r="W912" s="15"/>
    </row>
    <row r="913">
      <c r="J913" s="15"/>
      <c r="V913" s="15"/>
      <c r="W913" s="15"/>
    </row>
    <row r="914">
      <c r="J914" s="15"/>
      <c r="V914" s="15"/>
      <c r="W914" s="15"/>
    </row>
    <row r="915">
      <c r="J915" s="15"/>
      <c r="V915" s="15"/>
      <c r="W915" s="15"/>
    </row>
    <row r="916">
      <c r="J916" s="15"/>
      <c r="V916" s="15"/>
      <c r="W916" s="15"/>
    </row>
    <row r="917">
      <c r="J917" s="15"/>
      <c r="V917" s="15"/>
      <c r="W917" s="15"/>
    </row>
    <row r="918">
      <c r="J918" s="15"/>
      <c r="V918" s="15"/>
      <c r="W918" s="15"/>
    </row>
    <row r="919">
      <c r="J919" s="15"/>
      <c r="V919" s="15"/>
      <c r="W919" s="15"/>
    </row>
    <row r="920">
      <c r="J920" s="15"/>
      <c r="V920" s="15"/>
      <c r="W920" s="15"/>
    </row>
    <row r="921">
      <c r="J921" s="15"/>
      <c r="V921" s="15"/>
      <c r="W921" s="15"/>
    </row>
    <row r="922">
      <c r="J922" s="15"/>
      <c r="V922" s="15"/>
      <c r="W922" s="15"/>
    </row>
    <row r="923">
      <c r="J923" s="15"/>
      <c r="V923" s="15"/>
      <c r="W923" s="15"/>
    </row>
    <row r="924">
      <c r="J924" s="15"/>
      <c r="V924" s="15"/>
      <c r="W924" s="15"/>
    </row>
    <row r="925">
      <c r="J925" s="15"/>
      <c r="V925" s="15"/>
      <c r="W925" s="15"/>
    </row>
    <row r="926">
      <c r="J926" s="15"/>
      <c r="V926" s="15"/>
      <c r="W926" s="15"/>
    </row>
    <row r="927">
      <c r="J927" s="15"/>
      <c r="V927" s="15"/>
      <c r="W927" s="15"/>
    </row>
    <row r="928">
      <c r="J928" s="15"/>
      <c r="V928" s="15"/>
      <c r="W928" s="15"/>
    </row>
    <row r="929">
      <c r="J929" s="15"/>
      <c r="V929" s="15"/>
      <c r="W929" s="15"/>
    </row>
    <row r="930">
      <c r="J930" s="15"/>
      <c r="V930" s="15"/>
      <c r="W930" s="15"/>
    </row>
    <row r="931">
      <c r="J931" s="15"/>
      <c r="V931" s="15"/>
      <c r="W931" s="15"/>
    </row>
    <row r="932">
      <c r="J932" s="15"/>
      <c r="V932" s="15"/>
      <c r="W932" s="15"/>
    </row>
    <row r="933">
      <c r="J933" s="15"/>
      <c r="V933" s="15"/>
      <c r="W933" s="15"/>
    </row>
    <row r="934">
      <c r="J934" s="15"/>
      <c r="V934" s="15"/>
      <c r="W934" s="15"/>
    </row>
    <row r="935">
      <c r="J935" s="15"/>
      <c r="V935" s="15"/>
      <c r="W935" s="15"/>
    </row>
    <row r="936">
      <c r="J936" s="15"/>
      <c r="V936" s="15"/>
      <c r="W936" s="15"/>
    </row>
    <row r="937">
      <c r="J937" s="15"/>
      <c r="V937" s="15"/>
      <c r="W937" s="15"/>
    </row>
    <row r="938">
      <c r="J938" s="15"/>
      <c r="V938" s="15"/>
      <c r="W938" s="15"/>
    </row>
    <row r="939">
      <c r="J939" s="15"/>
      <c r="V939" s="15"/>
      <c r="W939" s="15"/>
    </row>
    <row r="940">
      <c r="J940" s="15"/>
      <c r="V940" s="15"/>
      <c r="W940" s="15"/>
    </row>
    <row r="941">
      <c r="J941" s="15"/>
      <c r="V941" s="15"/>
      <c r="W941" s="15"/>
    </row>
    <row r="942">
      <c r="J942" s="15"/>
      <c r="V942" s="15"/>
      <c r="W942" s="15"/>
    </row>
    <row r="943">
      <c r="J943" s="15"/>
      <c r="V943" s="15"/>
      <c r="W943" s="15"/>
    </row>
    <row r="944">
      <c r="J944" s="15"/>
      <c r="V944" s="15"/>
      <c r="W944" s="15"/>
    </row>
    <row r="945">
      <c r="J945" s="15"/>
      <c r="V945" s="15"/>
      <c r="W945" s="15"/>
    </row>
    <row r="946">
      <c r="J946" s="15"/>
      <c r="V946" s="15"/>
      <c r="W946" s="15"/>
    </row>
    <row r="947">
      <c r="J947" s="15"/>
      <c r="V947" s="15"/>
      <c r="W947" s="15"/>
    </row>
    <row r="948">
      <c r="J948" s="15"/>
      <c r="V948" s="15"/>
      <c r="W948" s="15"/>
    </row>
    <row r="949">
      <c r="J949" s="15"/>
      <c r="V949" s="15"/>
      <c r="W949" s="15"/>
    </row>
    <row r="950">
      <c r="J950" s="15"/>
      <c r="V950" s="15"/>
      <c r="W950" s="15"/>
    </row>
    <row r="951">
      <c r="J951" s="15"/>
      <c r="V951" s="15"/>
      <c r="W951" s="15"/>
    </row>
    <row r="952">
      <c r="J952" s="15"/>
      <c r="V952" s="15"/>
      <c r="W952" s="15"/>
    </row>
    <row r="953">
      <c r="J953" s="15"/>
      <c r="V953" s="15"/>
      <c r="W953" s="15"/>
    </row>
    <row r="954">
      <c r="J954" s="15"/>
      <c r="V954" s="15"/>
      <c r="W954" s="15"/>
    </row>
    <row r="955">
      <c r="J955" s="15"/>
      <c r="V955" s="15"/>
      <c r="W955" s="15"/>
    </row>
    <row r="956">
      <c r="J956" s="15"/>
      <c r="V956" s="15"/>
      <c r="W956" s="15"/>
    </row>
    <row r="957">
      <c r="J957" s="15"/>
      <c r="V957" s="15"/>
      <c r="W957" s="15"/>
    </row>
    <row r="958">
      <c r="J958" s="15"/>
      <c r="V958" s="15"/>
      <c r="W958" s="15"/>
    </row>
    <row r="959">
      <c r="J959" s="15"/>
      <c r="V959" s="15"/>
      <c r="W959" s="15"/>
    </row>
    <row r="960">
      <c r="J960" s="15"/>
      <c r="V960" s="15"/>
      <c r="W960" s="15"/>
    </row>
    <row r="961">
      <c r="J961" s="15"/>
      <c r="V961" s="15"/>
      <c r="W961" s="15"/>
    </row>
    <row r="962">
      <c r="J962" s="15"/>
      <c r="V962" s="15"/>
      <c r="W962" s="15"/>
    </row>
    <row r="963">
      <c r="J963" s="15"/>
      <c r="V963" s="15"/>
      <c r="W963" s="15"/>
    </row>
    <row r="964">
      <c r="J964" s="15"/>
      <c r="V964" s="15"/>
      <c r="W964" s="15"/>
    </row>
    <row r="965">
      <c r="J965" s="15"/>
      <c r="V965" s="15"/>
      <c r="W965" s="15"/>
    </row>
    <row r="966">
      <c r="J966" s="15"/>
      <c r="V966" s="15"/>
      <c r="W966" s="15"/>
    </row>
    <row r="967">
      <c r="J967" s="15"/>
      <c r="V967" s="15"/>
      <c r="W967" s="15"/>
    </row>
    <row r="968">
      <c r="J968" s="15"/>
      <c r="V968" s="15"/>
      <c r="W968" s="15"/>
    </row>
    <row r="969">
      <c r="J969" s="15"/>
      <c r="V969" s="15"/>
      <c r="W969" s="15"/>
    </row>
    <row r="970">
      <c r="J970" s="15"/>
      <c r="V970" s="15"/>
      <c r="W970" s="15"/>
    </row>
    <row r="971">
      <c r="J971" s="15"/>
      <c r="V971" s="15"/>
      <c r="W971" s="15"/>
    </row>
    <row r="972">
      <c r="J972" s="15"/>
      <c r="V972" s="15"/>
      <c r="W972" s="15"/>
    </row>
    <row r="973">
      <c r="J973" s="15"/>
      <c r="V973" s="15"/>
      <c r="W973" s="15"/>
    </row>
    <row r="974">
      <c r="J974" s="15"/>
      <c r="V974" s="15"/>
      <c r="W974" s="15"/>
    </row>
    <row r="975">
      <c r="J975" s="15"/>
      <c r="V975" s="15"/>
      <c r="W975" s="15"/>
    </row>
    <row r="976">
      <c r="J976" s="15"/>
      <c r="V976" s="15"/>
      <c r="W976" s="15"/>
    </row>
    <row r="977">
      <c r="J977" s="15"/>
      <c r="V977" s="15"/>
      <c r="W977" s="15"/>
    </row>
    <row r="978">
      <c r="J978" s="15"/>
      <c r="V978" s="15"/>
      <c r="W978" s="15"/>
    </row>
    <row r="979">
      <c r="J979" s="15"/>
      <c r="V979" s="15"/>
      <c r="W979" s="15"/>
    </row>
    <row r="980">
      <c r="J980" s="15"/>
      <c r="V980" s="15"/>
      <c r="W980" s="15"/>
    </row>
    <row r="981">
      <c r="J981" s="15"/>
      <c r="V981" s="15"/>
      <c r="W981" s="15"/>
    </row>
    <row r="982">
      <c r="J982" s="15"/>
      <c r="V982" s="15"/>
      <c r="W982" s="15"/>
    </row>
    <row r="983">
      <c r="J983" s="15"/>
      <c r="V983" s="15"/>
      <c r="W983" s="15"/>
    </row>
    <row r="984">
      <c r="J984" s="15"/>
      <c r="V984" s="15"/>
      <c r="W984" s="15"/>
    </row>
    <row r="985">
      <c r="J985" s="15"/>
      <c r="V985" s="15"/>
      <c r="W985" s="15"/>
    </row>
    <row r="986">
      <c r="J986" s="15"/>
      <c r="V986" s="15"/>
      <c r="W986" s="15"/>
    </row>
    <row r="987">
      <c r="J987" s="15"/>
      <c r="V987" s="15"/>
      <c r="W987" s="15"/>
    </row>
    <row r="988">
      <c r="J988" s="15"/>
      <c r="V988" s="15"/>
      <c r="W988" s="15"/>
    </row>
    <row r="989">
      <c r="J989" s="15"/>
      <c r="V989" s="15"/>
      <c r="W989" s="15"/>
    </row>
    <row r="990">
      <c r="J990" s="15"/>
      <c r="V990" s="15"/>
      <c r="W990" s="15"/>
    </row>
    <row r="991">
      <c r="J991" s="15"/>
      <c r="V991" s="15"/>
      <c r="W991" s="15"/>
    </row>
    <row r="992">
      <c r="J992" s="15"/>
      <c r="V992" s="15"/>
      <c r="W992" s="15"/>
    </row>
    <row r="993">
      <c r="J993" s="15"/>
      <c r="V993" s="15"/>
      <c r="W993" s="15"/>
    </row>
    <row r="994">
      <c r="J994" s="15"/>
      <c r="V994" s="15"/>
      <c r="W994" s="15"/>
    </row>
    <row r="995">
      <c r="J995" s="15"/>
      <c r="V995" s="15"/>
      <c r="W995" s="15"/>
    </row>
    <row r="996">
      <c r="J996" s="15"/>
      <c r="V996" s="15"/>
      <c r="W996" s="15"/>
    </row>
    <row r="997">
      <c r="J997" s="15"/>
      <c r="V997" s="15"/>
      <c r="W997" s="15"/>
    </row>
    <row r="998">
      <c r="J998" s="15"/>
      <c r="V998" s="15"/>
      <c r="W998" s="15"/>
    </row>
  </sheetData>
  <autoFilter ref="$B$6:$J$36"/>
  <mergeCells count="4">
    <mergeCell ref="B2:C2"/>
    <mergeCell ref="L6:O6"/>
    <mergeCell ref="Q6:R6"/>
    <mergeCell ref="T6:X6"/>
  </mergeCells>
  <conditionalFormatting sqref="G7:G36">
    <cfRule type="colorScale" priority="1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C6:C34">
    <cfRule type="colorScale" priority="2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U8:U13">
    <cfRule type="cellIs" dxfId="0" priority="3" operator="lessThanOrEqual">
      <formula>MEDIAN($C$7:$C$34)</formula>
    </cfRule>
  </conditionalFormatting>
  <conditionalFormatting sqref="U8:U13">
    <cfRule type="cellIs" dxfId="1" priority="4" operator="greaterThan">
      <formula>MEDIAN($C$7:$C$34)</formula>
    </cfRule>
  </conditionalFormatting>
  <conditionalFormatting sqref="R9">
    <cfRule type="cellIs" dxfId="0" priority="5" operator="lessThanOrEqual">
      <formula>COUNT($B:$B) - (#REF! + #REF!)</formula>
    </cfRule>
  </conditionalFormatting>
  <conditionalFormatting sqref="R9">
    <cfRule type="cellIs" dxfId="1" priority="6" operator="greaterThan">
      <formula>COUNT($B:$B) - (#REF! + #REF!)</formula>
    </cfRule>
  </conditionalFormatting>
  <conditionalFormatting sqref="J7:J36">
    <cfRule type="cellIs" dxfId="0" priority="7" operator="equal">
      <formula>"Sim"</formula>
    </cfRule>
  </conditionalFormatting>
  <conditionalFormatting sqref="J7:J36">
    <cfRule type="cellIs" dxfId="1" priority="8" operator="equal">
      <formula>"Não"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13"/>
    <col customWidth="1" min="2" max="2" width="12.63"/>
    <col customWidth="1" min="3" max="3" width="10.88"/>
    <col customWidth="1" min="4" max="4" width="11.5"/>
    <col customWidth="1" min="5" max="6" width="8.38"/>
    <col customWidth="1" min="7" max="7" width="11.13"/>
    <col customWidth="1" min="8" max="9" width="10.0"/>
    <col customWidth="1" min="10" max="10" width="9.5"/>
    <col customWidth="1" min="11" max="11" width="1.5"/>
    <col customWidth="1" min="12" max="12" width="11.88"/>
    <col customWidth="1" min="13" max="13" width="10.25"/>
    <col customWidth="1" min="14" max="14" width="5.13"/>
    <col customWidth="1" min="15" max="15" width="10.13"/>
    <col customWidth="1" min="16" max="16" width="1.5"/>
    <col customWidth="1" min="17" max="17" width="14.38"/>
    <col customWidth="1" min="18" max="18" width="10.88"/>
    <col customWidth="1" min="19" max="19" width="1.38"/>
    <col customWidth="1" min="20" max="20" width="9.25"/>
    <col customWidth="1" min="21" max="21" width="9.13"/>
    <col customWidth="1" min="22" max="22" width="4.63"/>
    <col customWidth="1" min="23" max="23" width="8.38"/>
    <col customWidth="1" min="24" max="24" width="7.75"/>
    <col customWidth="1" min="25" max="25" width="2.63"/>
  </cols>
  <sheetData>
    <row r="1">
      <c r="J1" s="15"/>
      <c r="V1" s="15"/>
      <c r="W1" s="15"/>
    </row>
    <row r="2" ht="22.5" customHeight="1">
      <c r="B2" s="68" t="s">
        <v>40</v>
      </c>
      <c r="C2" s="27"/>
      <c r="J2" s="15"/>
      <c r="V2" s="15"/>
      <c r="W2" s="15"/>
    </row>
    <row r="3">
      <c r="B3" s="69" t="s">
        <v>41</v>
      </c>
      <c r="C3" s="70"/>
      <c r="J3" s="15"/>
      <c r="V3" s="15"/>
      <c r="W3" s="15"/>
    </row>
    <row r="4">
      <c r="B4" s="69" t="s">
        <v>42</v>
      </c>
      <c r="C4" s="71"/>
      <c r="J4" s="15"/>
      <c r="V4" s="15"/>
      <c r="W4" s="15"/>
    </row>
    <row r="5">
      <c r="C5" s="1"/>
      <c r="J5" s="15"/>
      <c r="V5" s="15"/>
      <c r="W5" s="15"/>
    </row>
    <row r="6" ht="35.25" customHeight="1">
      <c r="A6" s="72"/>
      <c r="B6" s="73" t="s">
        <v>25</v>
      </c>
      <c r="C6" s="73" t="s">
        <v>43</v>
      </c>
      <c r="D6" s="73" t="s">
        <v>44</v>
      </c>
      <c r="E6" s="73" t="s">
        <v>45</v>
      </c>
      <c r="F6" s="73" t="s">
        <v>46</v>
      </c>
      <c r="G6" s="73" t="s">
        <v>47</v>
      </c>
      <c r="H6" s="73" t="s">
        <v>48</v>
      </c>
      <c r="I6" s="73" t="s">
        <v>49</v>
      </c>
      <c r="J6" s="73" t="s">
        <v>50</v>
      </c>
      <c r="L6" s="74" t="s">
        <v>51</v>
      </c>
      <c r="M6" s="26"/>
      <c r="N6" s="26"/>
      <c r="O6" s="27"/>
      <c r="Q6" s="74" t="s">
        <v>52</v>
      </c>
      <c r="R6" s="27"/>
      <c r="S6" s="72"/>
      <c r="T6" s="72"/>
    </row>
    <row r="7">
      <c r="A7" s="39"/>
      <c r="B7" s="39">
        <v>46296.0</v>
      </c>
      <c r="C7" s="75"/>
      <c r="D7" s="75"/>
      <c r="E7" s="75"/>
      <c r="F7" s="75"/>
      <c r="G7" s="56" t="str">
        <f t="shared" ref="G7:G36" si="1">IF(SUM(D7:F7) = 0, , (SUM(D7:F7)))</f>
        <v/>
      </c>
      <c r="H7" s="76" t="str">
        <f t="shared" ref="H7:H34" si="2">IFERROR(G7/C7, )</f>
        <v/>
      </c>
      <c r="I7" s="77">
        <f t="shared" ref="I7:I36" si="3">IFERROR(H7/25 * ($C$3/10), )</f>
        <v>0</v>
      </c>
      <c r="J7" s="41" t="str">
        <f t="shared" ref="J7:J36" si="4">IF(B7 &gt; TODAY(), "", IF(G7 = "", "Não", "Sim"))
</f>
        <v/>
      </c>
      <c r="L7" s="78"/>
      <c r="M7" s="79" t="s">
        <v>53</v>
      </c>
      <c r="N7" s="80" t="s">
        <v>54</v>
      </c>
      <c r="O7" s="81" t="s">
        <v>55</v>
      </c>
      <c r="Q7" s="82"/>
      <c r="R7" s="69" t="s">
        <v>56</v>
      </c>
      <c r="T7" s="2"/>
      <c r="U7" s="2"/>
      <c r="V7" s="2"/>
      <c r="W7" s="2"/>
      <c r="X7" s="83"/>
      <c r="Y7" s="2"/>
    </row>
    <row r="8">
      <c r="A8" s="39"/>
      <c r="B8" s="39">
        <v>46297.0</v>
      </c>
      <c r="C8" s="75"/>
      <c r="D8" s="75"/>
      <c r="E8" s="75"/>
      <c r="F8" s="75"/>
      <c r="G8" s="56" t="str">
        <f t="shared" si="1"/>
        <v/>
      </c>
      <c r="H8" s="76" t="str">
        <f t="shared" si="2"/>
        <v/>
      </c>
      <c r="I8" s="77">
        <f t="shared" si="3"/>
        <v>0</v>
      </c>
      <c r="J8" s="41" t="str">
        <f t="shared" si="4"/>
        <v/>
      </c>
      <c r="L8" s="84" t="s">
        <v>0</v>
      </c>
      <c r="M8" s="85" t="str">
        <f> IFERROR(MEDIAN(C7:C998), )</f>
        <v/>
      </c>
      <c r="N8" s="86"/>
      <c r="O8" s="87"/>
      <c r="P8" s="88"/>
      <c r="Q8" s="89" t="s">
        <v>57</v>
      </c>
      <c r="R8" s="17">
        <f>Count(B:B)</f>
        <v>31</v>
      </c>
      <c r="T8" s="90"/>
      <c r="U8" s="91"/>
      <c r="V8" s="2"/>
      <c r="W8" s="91"/>
      <c r="X8" s="92"/>
      <c r="Y8" s="56"/>
    </row>
    <row r="9">
      <c r="A9" s="39"/>
      <c r="B9" s="39">
        <v>46298.0</v>
      </c>
      <c r="C9" s="75"/>
      <c r="D9" s="75"/>
      <c r="E9" s="75"/>
      <c r="F9" s="75"/>
      <c r="G9" s="56" t="str">
        <f t="shared" si="1"/>
        <v/>
      </c>
      <c r="H9" s="76" t="str">
        <f t="shared" si="2"/>
        <v/>
      </c>
      <c r="I9" s="77">
        <f t="shared" si="3"/>
        <v>0</v>
      </c>
      <c r="J9" s="41" t="str">
        <f t="shared" si="4"/>
        <v/>
      </c>
      <c r="L9" s="89" t="s">
        <v>2</v>
      </c>
      <c r="M9" s="56" t="str">
        <f t="shared" ref="M9:N9" si="5"> IFERROR(MEDIAN(G7:G998), )</f>
        <v/>
      </c>
      <c r="N9" s="56" t="str">
        <f t="shared" si="5"/>
        <v/>
      </c>
      <c r="O9" s="93">
        <f> IFERROR($N$9 * ($C$3/10)  / 25, )</f>
        <v>0</v>
      </c>
      <c r="P9" s="88"/>
      <c r="Q9" s="89" t="s">
        <v>58</v>
      </c>
      <c r="R9" s="17">
        <f>COUNTIF(J:J, "=Sim")</f>
        <v>0</v>
      </c>
      <c r="T9" s="90"/>
      <c r="U9" s="91"/>
      <c r="V9" s="2"/>
      <c r="W9" s="91"/>
      <c r="X9" s="92"/>
      <c r="Y9" s="56"/>
    </row>
    <row r="10">
      <c r="A10" s="39"/>
      <c r="B10" s="39">
        <v>46299.0</v>
      </c>
      <c r="C10" s="75"/>
      <c r="D10" s="75"/>
      <c r="E10" s="75"/>
      <c r="F10" s="75"/>
      <c r="G10" s="56" t="str">
        <f t="shared" si="1"/>
        <v/>
      </c>
      <c r="H10" s="76" t="str">
        <f t="shared" si="2"/>
        <v/>
      </c>
      <c r="I10" s="77">
        <f t="shared" si="3"/>
        <v>0</v>
      </c>
      <c r="J10" s="41" t="str">
        <f t="shared" si="4"/>
        <v/>
      </c>
      <c r="L10" s="89" t="s">
        <v>59</v>
      </c>
      <c r="M10" s="94">
        <f>IFERROR(SUM(G7:G998), )</f>
        <v>0</v>
      </c>
      <c r="N10" s="95" t="str">
        <f> IFERROR($M$10 / $M$8, )</f>
        <v/>
      </c>
      <c r="O10" s="93">
        <f> IFERROR($N$10 * ($C$3/10)  / 25, )</f>
        <v>0</v>
      </c>
      <c r="P10" s="88"/>
      <c r="Q10" s="89" t="s">
        <v>60</v>
      </c>
      <c r="R10" s="96" t="str">
        <f>IFERROR(M12/M9, )</f>
        <v/>
      </c>
      <c r="T10" s="90"/>
      <c r="U10" s="91"/>
      <c r="V10" s="2"/>
      <c r="W10" s="91"/>
      <c r="X10" s="92"/>
      <c r="Y10" s="56"/>
    </row>
    <row r="11">
      <c r="A11" s="39"/>
      <c r="B11" s="39">
        <v>46300.0</v>
      </c>
      <c r="C11" s="75"/>
      <c r="D11" s="75"/>
      <c r="E11" s="75"/>
      <c r="F11" s="75"/>
      <c r="G11" s="56" t="str">
        <f t="shared" si="1"/>
        <v/>
      </c>
      <c r="H11" s="76" t="str">
        <f t="shared" si="2"/>
        <v/>
      </c>
      <c r="I11" s="77">
        <f t="shared" si="3"/>
        <v>0</v>
      </c>
      <c r="J11" s="41" t="str">
        <f t="shared" si="4"/>
        <v/>
      </c>
      <c r="L11" s="89" t="s">
        <v>61</v>
      </c>
      <c r="M11" s="75">
        <f> IFERROR($N$11 * $M$8, )</f>
        <v>0</v>
      </c>
      <c r="N11" s="98" t="str">
        <f> IFERROR($C$4, )</f>
        <v/>
      </c>
      <c r="O11" s="93">
        <f> IFERROR($N$11 * ($C$3/10)  / 25,"")</f>
        <v>0</v>
      </c>
      <c r="Q11" s="89" t="s">
        <v>62</v>
      </c>
      <c r="R11" s="17">
        <f>COUNTIF($J:$J, "=Não")</f>
        <v>0</v>
      </c>
      <c r="T11" s="90"/>
      <c r="U11" s="91"/>
      <c r="V11" s="2"/>
      <c r="W11" s="91"/>
      <c r="X11" s="92"/>
      <c r="Y11" s="56"/>
    </row>
    <row r="12">
      <c r="A12" s="39"/>
      <c r="B12" s="39">
        <v>46301.0</v>
      </c>
      <c r="C12" s="75"/>
      <c r="D12" s="75"/>
      <c r="E12" s="56"/>
      <c r="F12" s="75"/>
      <c r="G12" s="56" t="str">
        <f t="shared" si="1"/>
        <v/>
      </c>
      <c r="H12" s="76" t="str">
        <f t="shared" si="2"/>
        <v/>
      </c>
      <c r="I12" s="77">
        <f t="shared" si="3"/>
        <v>0</v>
      </c>
      <c r="J12" s="41" t="str">
        <f t="shared" si="4"/>
        <v/>
      </c>
      <c r="L12" s="89" t="s">
        <v>63</v>
      </c>
      <c r="M12" s="56">
        <f> IFERROR($M$11 - $M$10, )</f>
        <v>0</v>
      </c>
      <c r="N12" s="56">
        <f>N11 - N10</f>
        <v>0</v>
      </c>
      <c r="O12" s="93">
        <f> IFERROR($N$12 * ($C$3/10)  / 25, )</f>
        <v>0</v>
      </c>
      <c r="Q12" s="89" t="s">
        <v>64</v>
      </c>
      <c r="R12" s="96">
        <f>R8 - R9 - R10</f>
        <v>31</v>
      </c>
      <c r="T12" s="90"/>
      <c r="U12" s="91"/>
      <c r="V12" s="2"/>
      <c r="W12" s="91"/>
      <c r="X12" s="92"/>
      <c r="Y12" s="56"/>
    </row>
    <row r="13">
      <c r="A13" s="39"/>
      <c r="B13" s="39">
        <v>46302.0</v>
      </c>
      <c r="C13" s="75"/>
      <c r="D13" s="75"/>
      <c r="E13" s="75"/>
      <c r="F13" s="75"/>
      <c r="G13" s="56" t="str">
        <f t="shared" si="1"/>
        <v/>
      </c>
      <c r="H13" s="76" t="str">
        <f t="shared" si="2"/>
        <v/>
      </c>
      <c r="I13" s="77">
        <f t="shared" si="3"/>
        <v>0</v>
      </c>
      <c r="J13" s="41" t="str">
        <f t="shared" si="4"/>
        <v/>
      </c>
      <c r="L13" s="99"/>
      <c r="M13" s="100"/>
      <c r="N13" s="100"/>
      <c r="O13" s="101"/>
      <c r="Q13" s="99" t="s">
        <v>7</v>
      </c>
      <c r="R13" s="23" t="str">
        <f>IF(M10 &gt;= M11, "🔵 Concluído", IF((R8-R9)-R10-R11&gt;=2, "🟢 Seguro", IF((R8-R9)-R10-R11&gt;=0, "🟡 Atenção", "🔴 Risco")))</f>
        <v>🔵 Concluído</v>
      </c>
      <c r="T13" s="90"/>
      <c r="U13" s="91"/>
      <c r="V13" s="2"/>
      <c r="W13" s="91"/>
      <c r="X13" s="92"/>
      <c r="Y13" s="56"/>
    </row>
    <row r="14">
      <c r="A14" s="39"/>
      <c r="B14" s="39">
        <v>46303.0</v>
      </c>
      <c r="C14" s="75"/>
      <c r="D14" s="75"/>
      <c r="E14" s="75"/>
      <c r="F14" s="75"/>
      <c r="G14" s="56" t="str">
        <f t="shared" si="1"/>
        <v/>
      </c>
      <c r="H14" s="76" t="str">
        <f t="shared" si="2"/>
        <v/>
      </c>
      <c r="I14" s="77">
        <f t="shared" si="3"/>
        <v>0</v>
      </c>
      <c r="J14" s="41" t="str">
        <f t="shared" si="4"/>
        <v/>
      </c>
      <c r="L14" s="1"/>
      <c r="M14" s="1"/>
      <c r="N14" s="1"/>
      <c r="O14" s="1"/>
      <c r="Q14" s="1"/>
      <c r="R14" s="15"/>
      <c r="V14" s="15"/>
      <c r="W14" s="15"/>
      <c r="Y14" s="56"/>
    </row>
    <row r="15">
      <c r="A15" s="39"/>
      <c r="B15" s="39">
        <v>46304.0</v>
      </c>
      <c r="C15" s="75"/>
      <c r="D15" s="75"/>
      <c r="E15" s="75"/>
      <c r="F15" s="75"/>
      <c r="G15" s="56" t="str">
        <f t="shared" si="1"/>
        <v/>
      </c>
      <c r="H15" s="76" t="str">
        <f t="shared" si="2"/>
        <v/>
      </c>
      <c r="I15" s="77">
        <f t="shared" si="3"/>
        <v>0</v>
      </c>
      <c r="J15" s="41" t="str">
        <f t="shared" si="4"/>
        <v/>
      </c>
      <c r="L15" s="1"/>
      <c r="V15" s="15"/>
      <c r="W15" s="15"/>
    </row>
    <row r="16">
      <c r="A16" s="39"/>
      <c r="B16" s="39">
        <v>46305.0</v>
      </c>
      <c r="C16" s="75"/>
      <c r="D16" s="75"/>
      <c r="E16" s="75"/>
      <c r="F16" s="75"/>
      <c r="G16" s="56" t="str">
        <f t="shared" si="1"/>
        <v/>
      </c>
      <c r="H16" s="76" t="str">
        <f t="shared" si="2"/>
        <v/>
      </c>
      <c r="I16" s="77">
        <f t="shared" si="3"/>
        <v>0</v>
      </c>
      <c r="J16" s="41" t="str">
        <f t="shared" si="4"/>
        <v/>
      </c>
      <c r="N16" s="102"/>
      <c r="V16" s="15"/>
      <c r="W16" s="15"/>
    </row>
    <row r="17">
      <c r="A17" s="39"/>
      <c r="B17" s="39">
        <v>46306.0</v>
      </c>
      <c r="C17" s="75"/>
      <c r="D17" s="75"/>
      <c r="E17" s="75"/>
      <c r="F17" s="75"/>
      <c r="G17" s="56" t="str">
        <f t="shared" si="1"/>
        <v/>
      </c>
      <c r="H17" s="76" t="str">
        <f t="shared" si="2"/>
        <v/>
      </c>
      <c r="I17" s="77">
        <f t="shared" si="3"/>
        <v>0</v>
      </c>
      <c r="J17" s="41" t="str">
        <f t="shared" si="4"/>
        <v/>
      </c>
      <c r="V17" s="15"/>
      <c r="W17" s="15"/>
    </row>
    <row r="18">
      <c r="A18" s="39"/>
      <c r="B18" s="39">
        <v>46307.0</v>
      </c>
      <c r="C18" s="56"/>
      <c r="D18" s="56"/>
      <c r="E18" s="56"/>
      <c r="F18" s="56"/>
      <c r="G18" s="56" t="str">
        <f t="shared" si="1"/>
        <v/>
      </c>
      <c r="H18" s="76" t="str">
        <f t="shared" si="2"/>
        <v/>
      </c>
      <c r="I18" s="77">
        <f t="shared" si="3"/>
        <v>0</v>
      </c>
      <c r="J18" s="41" t="str">
        <f t="shared" si="4"/>
        <v/>
      </c>
      <c r="V18" s="15"/>
      <c r="W18" s="15"/>
    </row>
    <row r="19">
      <c r="A19" s="39"/>
      <c r="B19" s="39">
        <v>46308.0</v>
      </c>
      <c r="C19" s="56"/>
      <c r="D19" s="56"/>
      <c r="E19" s="56"/>
      <c r="F19" s="56"/>
      <c r="G19" s="56" t="str">
        <f t="shared" si="1"/>
        <v/>
      </c>
      <c r="H19" s="76" t="str">
        <f t="shared" si="2"/>
        <v/>
      </c>
      <c r="I19" s="77">
        <f t="shared" si="3"/>
        <v>0</v>
      </c>
      <c r="J19" s="41" t="str">
        <f t="shared" si="4"/>
        <v/>
      </c>
      <c r="V19" s="15"/>
      <c r="W19" s="15"/>
    </row>
    <row r="20">
      <c r="A20" s="39"/>
      <c r="B20" s="39">
        <v>46309.0</v>
      </c>
      <c r="C20" s="56"/>
      <c r="D20" s="56"/>
      <c r="E20" s="56"/>
      <c r="F20" s="56"/>
      <c r="G20" s="56" t="str">
        <f t="shared" si="1"/>
        <v/>
      </c>
      <c r="H20" s="76" t="str">
        <f t="shared" si="2"/>
        <v/>
      </c>
      <c r="I20" s="77">
        <f t="shared" si="3"/>
        <v>0</v>
      </c>
      <c r="J20" s="41" t="str">
        <f t="shared" si="4"/>
        <v/>
      </c>
      <c r="V20" s="15"/>
      <c r="W20" s="15"/>
    </row>
    <row r="21">
      <c r="A21" s="39"/>
      <c r="B21" s="39">
        <v>46310.0</v>
      </c>
      <c r="C21" s="56"/>
      <c r="D21" s="56"/>
      <c r="E21" s="56"/>
      <c r="F21" s="56"/>
      <c r="G21" s="56" t="str">
        <f t="shared" si="1"/>
        <v/>
      </c>
      <c r="H21" s="76" t="str">
        <f t="shared" si="2"/>
        <v/>
      </c>
      <c r="I21" s="77">
        <f t="shared" si="3"/>
        <v>0</v>
      </c>
      <c r="J21" s="41" t="str">
        <f t="shared" si="4"/>
        <v/>
      </c>
      <c r="V21" s="15"/>
      <c r="W21" s="15"/>
    </row>
    <row r="22">
      <c r="A22" s="39"/>
      <c r="B22" s="39">
        <v>46311.0</v>
      </c>
      <c r="C22" s="56"/>
      <c r="D22" s="56"/>
      <c r="E22" s="56"/>
      <c r="F22" s="56"/>
      <c r="G22" s="56" t="str">
        <f t="shared" si="1"/>
        <v/>
      </c>
      <c r="H22" s="76" t="str">
        <f t="shared" si="2"/>
        <v/>
      </c>
      <c r="I22" s="77">
        <f t="shared" si="3"/>
        <v>0</v>
      </c>
      <c r="J22" s="41" t="str">
        <f t="shared" si="4"/>
        <v/>
      </c>
      <c r="V22" s="15"/>
      <c r="W22" s="15"/>
    </row>
    <row r="23">
      <c r="A23" s="39"/>
      <c r="B23" s="39">
        <v>46312.0</v>
      </c>
      <c r="C23" s="56"/>
      <c r="D23" s="56"/>
      <c r="E23" s="56"/>
      <c r="F23" s="56"/>
      <c r="G23" s="56" t="str">
        <f t="shared" si="1"/>
        <v/>
      </c>
      <c r="H23" s="76" t="str">
        <f t="shared" si="2"/>
        <v/>
      </c>
      <c r="I23" s="77">
        <f t="shared" si="3"/>
        <v>0</v>
      </c>
      <c r="J23" s="41" t="str">
        <f t="shared" si="4"/>
        <v/>
      </c>
      <c r="V23" s="15"/>
      <c r="W23" s="15"/>
    </row>
    <row r="24">
      <c r="A24" s="39"/>
      <c r="B24" s="39">
        <v>46313.0</v>
      </c>
      <c r="C24" s="56"/>
      <c r="D24" s="56"/>
      <c r="E24" s="56"/>
      <c r="F24" s="56"/>
      <c r="G24" s="56" t="str">
        <f t="shared" si="1"/>
        <v/>
      </c>
      <c r="H24" s="76" t="str">
        <f t="shared" si="2"/>
        <v/>
      </c>
      <c r="I24" s="77">
        <f t="shared" si="3"/>
        <v>0</v>
      </c>
      <c r="J24" s="41" t="str">
        <f t="shared" si="4"/>
        <v/>
      </c>
      <c r="N24" s="1"/>
      <c r="V24" s="15"/>
      <c r="W24" s="15"/>
    </row>
    <row r="25">
      <c r="A25" s="39"/>
      <c r="B25" s="39">
        <v>46314.0</v>
      </c>
      <c r="C25" s="75"/>
      <c r="D25" s="56"/>
      <c r="E25" s="75"/>
      <c r="F25" s="75"/>
      <c r="G25" s="56" t="str">
        <f t="shared" si="1"/>
        <v/>
      </c>
      <c r="H25" s="76" t="str">
        <f t="shared" si="2"/>
        <v/>
      </c>
      <c r="I25" s="77">
        <f t="shared" si="3"/>
        <v>0</v>
      </c>
      <c r="J25" s="41" t="str">
        <f t="shared" si="4"/>
        <v/>
      </c>
      <c r="V25" s="15"/>
      <c r="W25" s="15"/>
    </row>
    <row r="26">
      <c r="A26" s="39"/>
      <c r="B26" s="39">
        <v>46315.0</v>
      </c>
      <c r="C26" s="75"/>
      <c r="D26" s="56"/>
      <c r="E26" s="56"/>
      <c r="F26" s="75"/>
      <c r="G26" s="56" t="str">
        <f t="shared" si="1"/>
        <v/>
      </c>
      <c r="H26" s="76" t="str">
        <f t="shared" si="2"/>
        <v/>
      </c>
      <c r="I26" s="77">
        <f t="shared" si="3"/>
        <v>0</v>
      </c>
      <c r="J26" s="41" t="str">
        <f t="shared" si="4"/>
        <v/>
      </c>
      <c r="V26" s="15"/>
      <c r="W26" s="15"/>
    </row>
    <row r="27">
      <c r="A27" s="39"/>
      <c r="B27" s="39">
        <v>46316.0</v>
      </c>
      <c r="C27" s="75"/>
      <c r="D27" s="75"/>
      <c r="E27" s="75"/>
      <c r="F27" s="75"/>
      <c r="G27" s="56" t="str">
        <f t="shared" si="1"/>
        <v/>
      </c>
      <c r="H27" s="76" t="str">
        <f t="shared" si="2"/>
        <v/>
      </c>
      <c r="I27" s="77">
        <f t="shared" si="3"/>
        <v>0</v>
      </c>
      <c r="J27" s="41" t="str">
        <f t="shared" si="4"/>
        <v/>
      </c>
      <c r="V27" s="15"/>
      <c r="W27" s="15"/>
    </row>
    <row r="28">
      <c r="A28" s="39"/>
      <c r="B28" s="39">
        <v>46317.0</v>
      </c>
      <c r="C28" s="75"/>
      <c r="D28" s="56"/>
      <c r="E28" s="56"/>
      <c r="F28" s="75"/>
      <c r="G28" s="56" t="str">
        <f t="shared" si="1"/>
        <v/>
      </c>
      <c r="H28" s="104" t="str">
        <f t="shared" si="2"/>
        <v/>
      </c>
      <c r="I28" s="77">
        <f t="shared" si="3"/>
        <v>0</v>
      </c>
      <c r="J28" s="41" t="str">
        <f t="shared" si="4"/>
        <v/>
      </c>
      <c r="N28" s="1"/>
      <c r="V28" s="15"/>
      <c r="W28" s="15"/>
    </row>
    <row r="29">
      <c r="A29" s="39"/>
      <c r="B29" s="39">
        <v>46318.0</v>
      </c>
      <c r="C29" s="75"/>
      <c r="D29" s="56"/>
      <c r="E29" s="56"/>
      <c r="F29" s="75"/>
      <c r="G29" s="56" t="str">
        <f t="shared" si="1"/>
        <v/>
      </c>
      <c r="H29" s="104" t="str">
        <f t="shared" si="2"/>
        <v/>
      </c>
      <c r="I29" s="77">
        <f t="shared" si="3"/>
        <v>0</v>
      </c>
      <c r="J29" s="41" t="str">
        <f t="shared" si="4"/>
        <v/>
      </c>
      <c r="V29" s="15"/>
      <c r="W29" s="15"/>
    </row>
    <row r="30">
      <c r="A30" s="39"/>
      <c r="B30" s="39">
        <v>46319.0</v>
      </c>
      <c r="C30" s="56"/>
      <c r="D30" s="56"/>
      <c r="E30" s="56"/>
      <c r="F30" s="56"/>
      <c r="G30" s="56" t="str">
        <f t="shared" si="1"/>
        <v/>
      </c>
      <c r="H30" s="104" t="str">
        <f t="shared" si="2"/>
        <v/>
      </c>
      <c r="I30" s="77">
        <f t="shared" si="3"/>
        <v>0</v>
      </c>
      <c r="J30" s="41" t="str">
        <f t="shared" si="4"/>
        <v/>
      </c>
      <c r="V30" s="15"/>
      <c r="W30" s="15"/>
    </row>
    <row r="31">
      <c r="A31" s="39"/>
      <c r="B31" s="39">
        <v>46320.0</v>
      </c>
      <c r="C31" s="56"/>
      <c r="D31" s="56"/>
      <c r="E31" s="56"/>
      <c r="F31" s="56"/>
      <c r="G31" s="56" t="str">
        <f t="shared" si="1"/>
        <v/>
      </c>
      <c r="H31" s="104" t="str">
        <f t="shared" si="2"/>
        <v/>
      </c>
      <c r="I31" s="77">
        <f t="shared" si="3"/>
        <v>0</v>
      </c>
      <c r="J31" s="41" t="str">
        <f t="shared" si="4"/>
        <v/>
      </c>
      <c r="V31" s="15"/>
      <c r="W31" s="15"/>
    </row>
    <row r="32">
      <c r="A32" s="39"/>
      <c r="B32" s="39">
        <v>46321.0</v>
      </c>
      <c r="C32" s="56"/>
      <c r="D32" s="56"/>
      <c r="E32" s="56"/>
      <c r="F32" s="56"/>
      <c r="G32" s="56" t="str">
        <f t="shared" si="1"/>
        <v/>
      </c>
      <c r="H32" s="104" t="str">
        <f t="shared" si="2"/>
        <v/>
      </c>
      <c r="I32" s="77">
        <f t="shared" si="3"/>
        <v>0</v>
      </c>
      <c r="J32" s="41" t="str">
        <f t="shared" si="4"/>
        <v/>
      </c>
      <c r="V32" s="15"/>
      <c r="W32" s="15"/>
    </row>
    <row r="33">
      <c r="A33" s="39"/>
      <c r="B33" s="39">
        <v>46322.0</v>
      </c>
      <c r="C33" s="56"/>
      <c r="D33" s="56"/>
      <c r="E33" s="56"/>
      <c r="F33" s="56"/>
      <c r="G33" s="56" t="str">
        <f t="shared" si="1"/>
        <v/>
      </c>
      <c r="H33" s="104" t="str">
        <f t="shared" si="2"/>
        <v/>
      </c>
      <c r="I33" s="77">
        <f t="shared" si="3"/>
        <v>0</v>
      </c>
      <c r="J33" s="41" t="str">
        <f t="shared" si="4"/>
        <v/>
      </c>
      <c r="V33" s="15"/>
      <c r="W33" s="15"/>
    </row>
    <row r="34">
      <c r="A34" s="39"/>
      <c r="B34" s="39">
        <v>46323.0</v>
      </c>
      <c r="C34" s="56"/>
      <c r="D34" s="56"/>
      <c r="E34" s="56"/>
      <c r="F34" s="56"/>
      <c r="G34" s="56" t="str">
        <f t="shared" si="1"/>
        <v/>
      </c>
      <c r="H34" s="104" t="str">
        <f t="shared" si="2"/>
        <v/>
      </c>
      <c r="I34" s="77">
        <f t="shared" si="3"/>
        <v>0</v>
      </c>
      <c r="J34" s="41" t="str">
        <f t="shared" si="4"/>
        <v/>
      </c>
      <c r="V34" s="15"/>
      <c r="W34" s="15"/>
    </row>
    <row r="35">
      <c r="B35" s="39">
        <v>46324.0</v>
      </c>
      <c r="G35" s="56" t="str">
        <f t="shared" si="1"/>
        <v/>
      </c>
      <c r="I35" s="77">
        <f t="shared" si="3"/>
        <v>0</v>
      </c>
      <c r="J35" s="41" t="str">
        <f t="shared" si="4"/>
        <v/>
      </c>
      <c r="V35" s="15"/>
      <c r="W35" s="15"/>
    </row>
    <row r="36">
      <c r="B36" s="39">
        <v>46325.0</v>
      </c>
      <c r="G36" s="56" t="str">
        <f t="shared" si="1"/>
        <v/>
      </c>
      <c r="H36" s="104" t="str">
        <f>IFERROR(G35/C35, )</f>
        <v/>
      </c>
      <c r="I36" s="77">
        <f t="shared" si="3"/>
        <v>0</v>
      </c>
      <c r="J36" s="41" t="str">
        <f t="shared" si="4"/>
        <v/>
      </c>
      <c r="V36" s="15"/>
      <c r="W36" s="15"/>
    </row>
    <row r="37">
      <c r="B37" s="39">
        <v>46326.0</v>
      </c>
      <c r="J37" s="15"/>
      <c r="V37" s="15"/>
      <c r="W37" s="15"/>
    </row>
    <row r="38">
      <c r="J38" s="15"/>
      <c r="V38" s="15"/>
      <c r="W38" s="15"/>
    </row>
    <row r="39">
      <c r="J39" s="15"/>
      <c r="V39" s="15"/>
      <c r="W39" s="15"/>
    </row>
    <row r="40">
      <c r="J40" s="15"/>
      <c r="V40" s="15"/>
      <c r="W40" s="15"/>
    </row>
    <row r="41">
      <c r="J41" s="15"/>
      <c r="V41" s="15"/>
      <c r="W41" s="15"/>
    </row>
    <row r="42">
      <c r="J42" s="15"/>
      <c r="V42" s="15"/>
      <c r="W42" s="15"/>
    </row>
    <row r="43">
      <c r="J43" s="15"/>
      <c r="V43" s="15"/>
      <c r="W43" s="15"/>
    </row>
    <row r="44">
      <c r="J44" s="15"/>
      <c r="V44" s="15"/>
      <c r="W44" s="15"/>
    </row>
    <row r="45">
      <c r="J45" s="15"/>
      <c r="V45" s="15"/>
      <c r="W45" s="15"/>
    </row>
    <row r="46">
      <c r="J46" s="15"/>
      <c r="V46" s="15"/>
      <c r="W46" s="15"/>
    </row>
    <row r="47">
      <c r="J47" s="15"/>
      <c r="V47" s="15"/>
      <c r="W47" s="15"/>
    </row>
    <row r="48">
      <c r="J48" s="15"/>
      <c r="V48" s="15"/>
      <c r="W48" s="15"/>
    </row>
    <row r="49">
      <c r="J49" s="15"/>
      <c r="V49" s="15"/>
      <c r="W49" s="15"/>
    </row>
    <row r="50">
      <c r="J50" s="15"/>
      <c r="V50" s="15"/>
      <c r="W50" s="15"/>
    </row>
    <row r="51">
      <c r="J51" s="15"/>
      <c r="V51" s="15"/>
      <c r="W51" s="15"/>
    </row>
    <row r="52">
      <c r="J52" s="15"/>
      <c r="V52" s="15"/>
      <c r="W52" s="15"/>
    </row>
    <row r="53">
      <c r="J53" s="15"/>
      <c r="V53" s="15"/>
      <c r="W53" s="15"/>
    </row>
    <row r="54">
      <c r="J54" s="15"/>
      <c r="V54" s="15"/>
      <c r="W54" s="15"/>
    </row>
    <row r="55">
      <c r="J55" s="15"/>
      <c r="V55" s="15"/>
      <c r="W55" s="15"/>
    </row>
    <row r="56">
      <c r="J56" s="15"/>
      <c r="V56" s="15"/>
      <c r="W56" s="15"/>
    </row>
    <row r="57">
      <c r="J57" s="15"/>
      <c r="V57" s="15"/>
      <c r="W57" s="15"/>
    </row>
    <row r="58">
      <c r="J58" s="15"/>
      <c r="V58" s="15"/>
      <c r="W58" s="15"/>
    </row>
    <row r="59">
      <c r="J59" s="15"/>
      <c r="V59" s="15"/>
      <c r="W59" s="15"/>
    </row>
    <row r="60">
      <c r="J60" s="15"/>
      <c r="V60" s="15"/>
      <c r="W60" s="15"/>
    </row>
    <row r="61">
      <c r="J61" s="15"/>
      <c r="V61" s="15"/>
      <c r="W61" s="15"/>
    </row>
    <row r="62">
      <c r="J62" s="15"/>
      <c r="V62" s="15"/>
      <c r="W62" s="15"/>
    </row>
    <row r="63">
      <c r="J63" s="15"/>
      <c r="V63" s="15"/>
      <c r="W63" s="15"/>
    </row>
    <row r="64">
      <c r="J64" s="15"/>
      <c r="V64" s="15"/>
      <c r="W64" s="15"/>
    </row>
    <row r="65">
      <c r="J65" s="15"/>
      <c r="V65" s="15"/>
      <c r="W65" s="15"/>
    </row>
    <row r="66">
      <c r="J66" s="15"/>
      <c r="V66" s="15"/>
      <c r="W66" s="15"/>
    </row>
    <row r="67">
      <c r="J67" s="15"/>
      <c r="V67" s="15"/>
      <c r="W67" s="15"/>
    </row>
    <row r="68">
      <c r="J68" s="15"/>
      <c r="V68" s="15"/>
      <c r="W68" s="15"/>
    </row>
    <row r="69">
      <c r="J69" s="15"/>
      <c r="V69" s="15"/>
      <c r="W69" s="15"/>
    </row>
    <row r="70">
      <c r="J70" s="15"/>
      <c r="V70" s="15"/>
      <c r="W70" s="15"/>
    </row>
    <row r="71">
      <c r="J71" s="15"/>
      <c r="V71" s="15"/>
      <c r="W71" s="15"/>
    </row>
    <row r="72">
      <c r="J72" s="15"/>
      <c r="V72" s="15"/>
      <c r="W72" s="15"/>
    </row>
    <row r="73">
      <c r="J73" s="15"/>
      <c r="V73" s="15"/>
      <c r="W73" s="15"/>
    </row>
    <row r="74">
      <c r="J74" s="15"/>
      <c r="V74" s="15"/>
      <c r="W74" s="15"/>
    </row>
    <row r="75">
      <c r="J75" s="15"/>
      <c r="V75" s="15"/>
      <c r="W75" s="15"/>
    </row>
    <row r="76">
      <c r="J76" s="15"/>
      <c r="V76" s="15"/>
      <c r="W76" s="15"/>
    </row>
    <row r="77">
      <c r="J77" s="15"/>
      <c r="V77" s="15"/>
      <c r="W77" s="15"/>
    </row>
    <row r="78">
      <c r="J78" s="15"/>
      <c r="V78" s="15"/>
      <c r="W78" s="15"/>
    </row>
    <row r="79">
      <c r="J79" s="15"/>
      <c r="V79" s="15"/>
      <c r="W79" s="15"/>
    </row>
    <row r="80">
      <c r="J80" s="15"/>
      <c r="V80" s="15"/>
      <c r="W80" s="15"/>
    </row>
    <row r="81">
      <c r="J81" s="15"/>
      <c r="V81" s="15"/>
      <c r="W81" s="15"/>
    </row>
    <row r="82">
      <c r="J82" s="15"/>
      <c r="V82" s="15"/>
      <c r="W82" s="15"/>
    </row>
    <row r="83">
      <c r="J83" s="15"/>
      <c r="V83" s="15"/>
      <c r="W83" s="15"/>
    </row>
    <row r="84">
      <c r="J84" s="15"/>
      <c r="V84" s="15"/>
      <c r="W84" s="15"/>
    </row>
    <row r="85">
      <c r="J85" s="15"/>
      <c r="V85" s="15"/>
      <c r="W85" s="15"/>
    </row>
    <row r="86">
      <c r="J86" s="15"/>
      <c r="V86" s="15"/>
      <c r="W86" s="15"/>
    </row>
    <row r="87">
      <c r="J87" s="15"/>
      <c r="V87" s="15"/>
      <c r="W87" s="15"/>
    </row>
    <row r="88">
      <c r="J88" s="15"/>
      <c r="V88" s="15"/>
      <c r="W88" s="15"/>
    </row>
    <row r="89">
      <c r="J89" s="15"/>
      <c r="V89" s="15"/>
      <c r="W89" s="15"/>
    </row>
    <row r="90">
      <c r="J90" s="15"/>
      <c r="V90" s="15"/>
      <c r="W90" s="15"/>
    </row>
    <row r="91">
      <c r="J91" s="15"/>
      <c r="V91" s="15"/>
      <c r="W91" s="15"/>
    </row>
    <row r="92">
      <c r="J92" s="15"/>
      <c r="V92" s="15"/>
      <c r="W92" s="15"/>
    </row>
    <row r="93">
      <c r="J93" s="15"/>
      <c r="V93" s="15"/>
      <c r="W93" s="15"/>
    </row>
    <row r="94">
      <c r="J94" s="15"/>
      <c r="V94" s="15"/>
      <c r="W94" s="15"/>
    </row>
    <row r="95">
      <c r="J95" s="15"/>
      <c r="V95" s="15"/>
      <c r="W95" s="15"/>
    </row>
    <row r="96">
      <c r="J96" s="15"/>
      <c r="V96" s="15"/>
      <c r="W96" s="15"/>
    </row>
    <row r="97">
      <c r="J97" s="15"/>
      <c r="V97" s="15"/>
      <c r="W97" s="15"/>
    </row>
    <row r="98">
      <c r="J98" s="15"/>
      <c r="V98" s="15"/>
      <c r="W98" s="15"/>
    </row>
    <row r="99">
      <c r="J99" s="15"/>
      <c r="V99" s="15"/>
      <c r="W99" s="15"/>
    </row>
    <row r="100">
      <c r="J100" s="15"/>
      <c r="V100" s="15"/>
      <c r="W100" s="15"/>
    </row>
    <row r="101">
      <c r="J101" s="15"/>
      <c r="V101" s="15"/>
      <c r="W101" s="15"/>
    </row>
    <row r="102">
      <c r="J102" s="15"/>
      <c r="V102" s="15"/>
      <c r="W102" s="15"/>
    </row>
    <row r="103">
      <c r="J103" s="15"/>
      <c r="V103" s="15"/>
      <c r="W103" s="15"/>
    </row>
    <row r="104">
      <c r="J104" s="15"/>
      <c r="V104" s="15"/>
      <c r="W104" s="15"/>
    </row>
    <row r="105">
      <c r="J105" s="15"/>
      <c r="V105" s="15"/>
      <c r="W105" s="15"/>
    </row>
    <row r="106">
      <c r="J106" s="15"/>
      <c r="V106" s="15"/>
      <c r="W106" s="15"/>
    </row>
    <row r="107">
      <c r="J107" s="15"/>
      <c r="V107" s="15"/>
      <c r="W107" s="15"/>
    </row>
    <row r="108">
      <c r="J108" s="15"/>
      <c r="V108" s="15"/>
      <c r="W108" s="15"/>
    </row>
    <row r="109">
      <c r="J109" s="15"/>
      <c r="V109" s="15"/>
      <c r="W109" s="15"/>
    </row>
    <row r="110">
      <c r="J110" s="15"/>
      <c r="V110" s="15"/>
      <c r="W110" s="15"/>
    </row>
    <row r="111">
      <c r="J111" s="15"/>
      <c r="V111" s="15"/>
      <c r="W111" s="15"/>
    </row>
    <row r="112">
      <c r="J112" s="15"/>
      <c r="V112" s="15"/>
      <c r="W112" s="15"/>
    </row>
    <row r="113">
      <c r="J113" s="15"/>
      <c r="V113" s="15"/>
      <c r="W113" s="15"/>
    </row>
    <row r="114">
      <c r="J114" s="15"/>
      <c r="V114" s="15"/>
      <c r="W114" s="15"/>
    </row>
    <row r="115">
      <c r="J115" s="15"/>
      <c r="V115" s="15"/>
      <c r="W115" s="15"/>
    </row>
    <row r="116">
      <c r="J116" s="15"/>
      <c r="V116" s="15"/>
      <c r="W116" s="15"/>
    </row>
    <row r="117">
      <c r="J117" s="15"/>
      <c r="V117" s="15"/>
      <c r="W117" s="15"/>
    </row>
    <row r="118">
      <c r="J118" s="15"/>
      <c r="V118" s="15"/>
      <c r="W118" s="15"/>
    </row>
    <row r="119">
      <c r="J119" s="15"/>
      <c r="V119" s="15"/>
      <c r="W119" s="15"/>
    </row>
    <row r="120">
      <c r="J120" s="15"/>
      <c r="V120" s="15"/>
      <c r="W120" s="15"/>
    </row>
    <row r="121">
      <c r="J121" s="15"/>
      <c r="V121" s="15"/>
      <c r="W121" s="15"/>
    </row>
    <row r="122">
      <c r="J122" s="15"/>
      <c r="V122" s="15"/>
      <c r="W122" s="15"/>
    </row>
    <row r="123">
      <c r="J123" s="15"/>
      <c r="V123" s="15"/>
      <c r="W123" s="15"/>
    </row>
    <row r="124">
      <c r="J124" s="15"/>
      <c r="V124" s="15"/>
      <c r="W124" s="15"/>
    </row>
    <row r="125">
      <c r="J125" s="15"/>
      <c r="V125" s="15"/>
      <c r="W125" s="15"/>
    </row>
    <row r="126">
      <c r="J126" s="15"/>
      <c r="V126" s="15"/>
      <c r="W126" s="15"/>
    </row>
    <row r="127">
      <c r="J127" s="15"/>
      <c r="V127" s="15"/>
      <c r="W127" s="15"/>
    </row>
    <row r="128">
      <c r="J128" s="15"/>
      <c r="V128" s="15"/>
      <c r="W128" s="15"/>
    </row>
    <row r="129">
      <c r="J129" s="15"/>
      <c r="V129" s="15"/>
      <c r="W129" s="15"/>
    </row>
    <row r="130">
      <c r="J130" s="15"/>
      <c r="V130" s="15"/>
      <c r="W130" s="15"/>
    </row>
    <row r="131">
      <c r="J131" s="15"/>
      <c r="V131" s="15"/>
      <c r="W131" s="15"/>
    </row>
    <row r="132">
      <c r="J132" s="15"/>
      <c r="V132" s="15"/>
      <c r="W132" s="15"/>
    </row>
    <row r="133">
      <c r="J133" s="15"/>
      <c r="V133" s="15"/>
      <c r="W133" s="15"/>
    </row>
    <row r="134">
      <c r="J134" s="15"/>
      <c r="V134" s="15"/>
      <c r="W134" s="15"/>
    </row>
    <row r="135">
      <c r="J135" s="15"/>
      <c r="V135" s="15"/>
      <c r="W135" s="15"/>
    </row>
    <row r="136">
      <c r="J136" s="15"/>
      <c r="V136" s="15"/>
      <c r="W136" s="15"/>
    </row>
    <row r="137">
      <c r="J137" s="15"/>
      <c r="V137" s="15"/>
      <c r="W137" s="15"/>
    </row>
    <row r="138">
      <c r="J138" s="15"/>
      <c r="V138" s="15"/>
      <c r="W138" s="15"/>
    </row>
    <row r="139">
      <c r="J139" s="15"/>
      <c r="V139" s="15"/>
      <c r="W139" s="15"/>
    </row>
    <row r="140">
      <c r="J140" s="15"/>
      <c r="V140" s="15"/>
      <c r="W140" s="15"/>
    </row>
    <row r="141">
      <c r="J141" s="15"/>
      <c r="V141" s="15"/>
      <c r="W141" s="15"/>
    </row>
    <row r="142">
      <c r="J142" s="15"/>
      <c r="V142" s="15"/>
      <c r="W142" s="15"/>
    </row>
    <row r="143">
      <c r="J143" s="15"/>
      <c r="V143" s="15"/>
      <c r="W143" s="15"/>
    </row>
    <row r="144">
      <c r="J144" s="15"/>
      <c r="V144" s="15"/>
      <c r="W144" s="15"/>
    </row>
    <row r="145">
      <c r="J145" s="15"/>
      <c r="V145" s="15"/>
      <c r="W145" s="15"/>
    </row>
    <row r="146">
      <c r="J146" s="15"/>
      <c r="V146" s="15"/>
      <c r="W146" s="15"/>
    </row>
    <row r="147">
      <c r="J147" s="15"/>
      <c r="V147" s="15"/>
      <c r="W147" s="15"/>
    </row>
    <row r="148">
      <c r="J148" s="15"/>
      <c r="V148" s="15"/>
      <c r="W148" s="15"/>
    </row>
    <row r="149">
      <c r="J149" s="15"/>
      <c r="V149" s="15"/>
      <c r="W149" s="15"/>
    </row>
    <row r="150">
      <c r="J150" s="15"/>
      <c r="V150" s="15"/>
      <c r="W150" s="15"/>
    </row>
    <row r="151">
      <c r="J151" s="15"/>
      <c r="V151" s="15"/>
      <c r="W151" s="15"/>
    </row>
    <row r="152">
      <c r="J152" s="15"/>
      <c r="V152" s="15"/>
      <c r="W152" s="15"/>
    </row>
    <row r="153">
      <c r="J153" s="15"/>
      <c r="V153" s="15"/>
      <c r="W153" s="15"/>
    </row>
    <row r="154">
      <c r="J154" s="15"/>
      <c r="V154" s="15"/>
      <c r="W154" s="15"/>
    </row>
    <row r="155">
      <c r="J155" s="15"/>
      <c r="V155" s="15"/>
      <c r="W155" s="15"/>
    </row>
    <row r="156">
      <c r="J156" s="15"/>
      <c r="V156" s="15"/>
      <c r="W156" s="15"/>
    </row>
    <row r="157">
      <c r="J157" s="15"/>
      <c r="V157" s="15"/>
      <c r="W157" s="15"/>
    </row>
    <row r="158">
      <c r="J158" s="15"/>
      <c r="V158" s="15"/>
      <c r="W158" s="15"/>
    </row>
    <row r="159">
      <c r="J159" s="15"/>
      <c r="V159" s="15"/>
      <c r="W159" s="15"/>
    </row>
    <row r="160">
      <c r="J160" s="15"/>
      <c r="V160" s="15"/>
      <c r="W160" s="15"/>
    </row>
    <row r="161">
      <c r="J161" s="15"/>
      <c r="V161" s="15"/>
      <c r="W161" s="15"/>
    </row>
    <row r="162">
      <c r="J162" s="15"/>
      <c r="V162" s="15"/>
      <c r="W162" s="15"/>
    </row>
    <row r="163">
      <c r="J163" s="15"/>
      <c r="V163" s="15"/>
      <c r="W163" s="15"/>
    </row>
    <row r="164">
      <c r="J164" s="15"/>
      <c r="V164" s="15"/>
      <c r="W164" s="15"/>
    </row>
    <row r="165">
      <c r="J165" s="15"/>
      <c r="V165" s="15"/>
      <c r="W165" s="15"/>
    </row>
    <row r="166">
      <c r="J166" s="15"/>
      <c r="V166" s="15"/>
      <c r="W166" s="15"/>
    </row>
    <row r="167">
      <c r="J167" s="15"/>
      <c r="V167" s="15"/>
      <c r="W167" s="15"/>
    </row>
    <row r="168">
      <c r="J168" s="15"/>
      <c r="V168" s="15"/>
      <c r="W168" s="15"/>
    </row>
    <row r="169">
      <c r="J169" s="15"/>
      <c r="V169" s="15"/>
      <c r="W169" s="15"/>
    </row>
    <row r="170">
      <c r="J170" s="15"/>
      <c r="V170" s="15"/>
      <c r="W170" s="15"/>
    </row>
    <row r="171">
      <c r="J171" s="15"/>
      <c r="V171" s="15"/>
      <c r="W171" s="15"/>
    </row>
    <row r="172">
      <c r="J172" s="15"/>
      <c r="V172" s="15"/>
      <c r="W172" s="15"/>
    </row>
    <row r="173">
      <c r="J173" s="15"/>
      <c r="V173" s="15"/>
      <c r="W173" s="15"/>
    </row>
    <row r="174">
      <c r="J174" s="15"/>
      <c r="V174" s="15"/>
      <c r="W174" s="15"/>
    </row>
    <row r="175">
      <c r="J175" s="15"/>
      <c r="V175" s="15"/>
      <c r="W175" s="15"/>
    </row>
    <row r="176">
      <c r="J176" s="15"/>
      <c r="V176" s="15"/>
      <c r="W176" s="15"/>
    </row>
    <row r="177">
      <c r="J177" s="15"/>
      <c r="V177" s="15"/>
      <c r="W177" s="15"/>
    </row>
    <row r="178">
      <c r="J178" s="15"/>
      <c r="V178" s="15"/>
      <c r="W178" s="15"/>
    </row>
    <row r="179">
      <c r="J179" s="15"/>
      <c r="V179" s="15"/>
      <c r="W179" s="15"/>
    </row>
    <row r="180">
      <c r="J180" s="15"/>
      <c r="V180" s="15"/>
      <c r="W180" s="15"/>
    </row>
    <row r="181">
      <c r="J181" s="15"/>
      <c r="V181" s="15"/>
      <c r="W181" s="15"/>
    </row>
    <row r="182">
      <c r="J182" s="15"/>
      <c r="V182" s="15"/>
      <c r="W182" s="15"/>
    </row>
    <row r="183">
      <c r="J183" s="15"/>
      <c r="V183" s="15"/>
      <c r="W183" s="15"/>
    </row>
    <row r="184">
      <c r="J184" s="15"/>
      <c r="V184" s="15"/>
      <c r="W184" s="15"/>
    </row>
    <row r="185">
      <c r="J185" s="15"/>
      <c r="V185" s="15"/>
      <c r="W185" s="15"/>
    </row>
    <row r="186">
      <c r="J186" s="15"/>
      <c r="V186" s="15"/>
      <c r="W186" s="15"/>
    </row>
    <row r="187">
      <c r="J187" s="15"/>
      <c r="V187" s="15"/>
      <c r="W187" s="15"/>
    </row>
    <row r="188">
      <c r="J188" s="15"/>
      <c r="V188" s="15"/>
      <c r="W188" s="15"/>
    </row>
    <row r="189">
      <c r="J189" s="15"/>
      <c r="V189" s="15"/>
      <c r="W189" s="15"/>
    </row>
    <row r="190">
      <c r="J190" s="15"/>
      <c r="V190" s="15"/>
      <c r="W190" s="15"/>
    </row>
    <row r="191">
      <c r="J191" s="15"/>
      <c r="V191" s="15"/>
      <c r="W191" s="15"/>
    </row>
    <row r="192">
      <c r="J192" s="15"/>
      <c r="V192" s="15"/>
      <c r="W192" s="15"/>
    </row>
    <row r="193">
      <c r="J193" s="15"/>
      <c r="V193" s="15"/>
      <c r="W193" s="15"/>
    </row>
    <row r="194">
      <c r="J194" s="15"/>
      <c r="V194" s="15"/>
      <c r="W194" s="15"/>
    </row>
    <row r="195">
      <c r="J195" s="15"/>
      <c r="V195" s="15"/>
      <c r="W195" s="15"/>
    </row>
    <row r="196">
      <c r="J196" s="15"/>
      <c r="V196" s="15"/>
      <c r="W196" s="15"/>
    </row>
    <row r="197">
      <c r="J197" s="15"/>
      <c r="V197" s="15"/>
      <c r="W197" s="15"/>
    </row>
    <row r="198">
      <c r="J198" s="15"/>
      <c r="V198" s="15"/>
      <c r="W198" s="15"/>
    </row>
    <row r="199">
      <c r="J199" s="15"/>
      <c r="V199" s="15"/>
      <c r="W199" s="15"/>
    </row>
    <row r="200">
      <c r="J200" s="15"/>
      <c r="V200" s="15"/>
      <c r="W200" s="15"/>
    </row>
    <row r="201">
      <c r="J201" s="15"/>
      <c r="V201" s="15"/>
      <c r="W201" s="15"/>
    </row>
    <row r="202">
      <c r="J202" s="15"/>
      <c r="V202" s="15"/>
      <c r="W202" s="15"/>
    </row>
    <row r="203">
      <c r="J203" s="15"/>
      <c r="V203" s="15"/>
      <c r="W203" s="15"/>
    </row>
    <row r="204">
      <c r="J204" s="15"/>
      <c r="V204" s="15"/>
      <c r="W204" s="15"/>
    </row>
    <row r="205">
      <c r="J205" s="15"/>
      <c r="V205" s="15"/>
      <c r="W205" s="15"/>
    </row>
    <row r="206">
      <c r="J206" s="15"/>
      <c r="V206" s="15"/>
      <c r="W206" s="15"/>
    </row>
    <row r="207">
      <c r="J207" s="15"/>
      <c r="V207" s="15"/>
      <c r="W207" s="15"/>
    </row>
    <row r="208">
      <c r="J208" s="15"/>
      <c r="V208" s="15"/>
      <c r="W208" s="15"/>
    </row>
    <row r="209">
      <c r="J209" s="15"/>
      <c r="V209" s="15"/>
      <c r="W209" s="15"/>
    </row>
    <row r="210">
      <c r="J210" s="15"/>
      <c r="V210" s="15"/>
      <c r="W210" s="15"/>
    </row>
    <row r="211">
      <c r="J211" s="15"/>
      <c r="V211" s="15"/>
      <c r="W211" s="15"/>
    </row>
    <row r="212">
      <c r="J212" s="15"/>
      <c r="V212" s="15"/>
      <c r="W212" s="15"/>
    </row>
    <row r="213">
      <c r="J213" s="15"/>
      <c r="V213" s="15"/>
      <c r="W213" s="15"/>
    </row>
    <row r="214">
      <c r="J214" s="15"/>
      <c r="V214" s="15"/>
      <c r="W214" s="15"/>
    </row>
    <row r="215">
      <c r="J215" s="15"/>
      <c r="V215" s="15"/>
      <c r="W215" s="15"/>
    </row>
    <row r="216">
      <c r="J216" s="15"/>
      <c r="V216" s="15"/>
      <c r="W216" s="15"/>
    </row>
    <row r="217">
      <c r="J217" s="15"/>
      <c r="V217" s="15"/>
      <c r="W217" s="15"/>
    </row>
    <row r="218">
      <c r="J218" s="15"/>
      <c r="V218" s="15"/>
      <c r="W218" s="15"/>
    </row>
    <row r="219">
      <c r="J219" s="15"/>
      <c r="V219" s="15"/>
      <c r="W219" s="15"/>
    </row>
    <row r="220">
      <c r="J220" s="15"/>
      <c r="V220" s="15"/>
      <c r="W220" s="15"/>
    </row>
    <row r="221">
      <c r="J221" s="15"/>
      <c r="V221" s="15"/>
      <c r="W221" s="15"/>
    </row>
    <row r="222">
      <c r="J222" s="15"/>
      <c r="V222" s="15"/>
      <c r="W222" s="15"/>
    </row>
    <row r="223">
      <c r="J223" s="15"/>
      <c r="V223" s="15"/>
      <c r="W223" s="15"/>
    </row>
    <row r="224">
      <c r="J224" s="15"/>
      <c r="V224" s="15"/>
      <c r="W224" s="15"/>
    </row>
    <row r="225">
      <c r="J225" s="15"/>
      <c r="V225" s="15"/>
      <c r="W225" s="15"/>
    </row>
    <row r="226">
      <c r="J226" s="15"/>
      <c r="V226" s="15"/>
      <c r="W226" s="15"/>
    </row>
    <row r="227">
      <c r="J227" s="15"/>
      <c r="V227" s="15"/>
      <c r="W227" s="15"/>
    </row>
    <row r="228">
      <c r="J228" s="15"/>
      <c r="V228" s="15"/>
      <c r="W228" s="15"/>
    </row>
    <row r="229">
      <c r="J229" s="15"/>
      <c r="V229" s="15"/>
      <c r="W229" s="15"/>
    </row>
    <row r="230">
      <c r="J230" s="15"/>
      <c r="V230" s="15"/>
      <c r="W230" s="15"/>
    </row>
    <row r="231">
      <c r="J231" s="15"/>
      <c r="V231" s="15"/>
      <c r="W231" s="15"/>
    </row>
    <row r="232">
      <c r="J232" s="15"/>
      <c r="V232" s="15"/>
      <c r="W232" s="15"/>
    </row>
    <row r="233">
      <c r="J233" s="15"/>
      <c r="V233" s="15"/>
      <c r="W233" s="15"/>
    </row>
    <row r="234">
      <c r="J234" s="15"/>
      <c r="V234" s="15"/>
      <c r="W234" s="15"/>
    </row>
    <row r="235">
      <c r="J235" s="15"/>
      <c r="V235" s="15"/>
      <c r="W235" s="15"/>
    </row>
    <row r="236">
      <c r="J236" s="15"/>
      <c r="V236" s="15"/>
      <c r="W236" s="15"/>
    </row>
    <row r="237">
      <c r="J237" s="15"/>
      <c r="V237" s="15"/>
      <c r="W237" s="15"/>
    </row>
    <row r="238">
      <c r="J238" s="15"/>
      <c r="V238" s="15"/>
      <c r="W238" s="15"/>
    </row>
    <row r="239">
      <c r="J239" s="15"/>
      <c r="V239" s="15"/>
      <c r="W239" s="15"/>
    </row>
    <row r="240">
      <c r="J240" s="15"/>
      <c r="V240" s="15"/>
      <c r="W240" s="15"/>
    </row>
    <row r="241">
      <c r="J241" s="15"/>
      <c r="V241" s="15"/>
      <c r="W241" s="15"/>
    </row>
    <row r="242">
      <c r="J242" s="15"/>
      <c r="V242" s="15"/>
      <c r="W242" s="15"/>
    </row>
    <row r="243">
      <c r="J243" s="15"/>
      <c r="V243" s="15"/>
      <c r="W243" s="15"/>
    </row>
    <row r="244">
      <c r="J244" s="15"/>
      <c r="V244" s="15"/>
      <c r="W244" s="15"/>
    </row>
    <row r="245">
      <c r="J245" s="15"/>
      <c r="V245" s="15"/>
      <c r="W245" s="15"/>
    </row>
    <row r="246">
      <c r="J246" s="15"/>
      <c r="V246" s="15"/>
      <c r="W246" s="15"/>
    </row>
    <row r="247">
      <c r="J247" s="15"/>
      <c r="V247" s="15"/>
      <c r="W247" s="15"/>
    </row>
    <row r="248">
      <c r="J248" s="15"/>
      <c r="V248" s="15"/>
      <c r="W248" s="15"/>
    </row>
    <row r="249">
      <c r="J249" s="15"/>
      <c r="V249" s="15"/>
      <c r="W249" s="15"/>
    </row>
    <row r="250">
      <c r="J250" s="15"/>
      <c r="V250" s="15"/>
      <c r="W250" s="15"/>
    </row>
    <row r="251">
      <c r="J251" s="15"/>
      <c r="V251" s="15"/>
      <c r="W251" s="15"/>
    </row>
    <row r="252">
      <c r="J252" s="15"/>
      <c r="V252" s="15"/>
      <c r="W252" s="15"/>
    </row>
    <row r="253">
      <c r="J253" s="15"/>
      <c r="V253" s="15"/>
      <c r="W253" s="15"/>
    </row>
    <row r="254">
      <c r="J254" s="15"/>
      <c r="V254" s="15"/>
      <c r="W254" s="15"/>
    </row>
    <row r="255">
      <c r="J255" s="15"/>
      <c r="V255" s="15"/>
      <c r="W255" s="15"/>
    </row>
    <row r="256">
      <c r="J256" s="15"/>
      <c r="V256" s="15"/>
      <c r="W256" s="15"/>
    </row>
    <row r="257">
      <c r="J257" s="15"/>
      <c r="V257" s="15"/>
      <c r="W257" s="15"/>
    </row>
    <row r="258">
      <c r="J258" s="15"/>
      <c r="V258" s="15"/>
      <c r="W258" s="15"/>
    </row>
    <row r="259">
      <c r="J259" s="15"/>
      <c r="V259" s="15"/>
      <c r="W259" s="15"/>
    </row>
    <row r="260">
      <c r="J260" s="15"/>
      <c r="V260" s="15"/>
      <c r="W260" s="15"/>
    </row>
    <row r="261">
      <c r="J261" s="15"/>
      <c r="V261" s="15"/>
      <c r="W261" s="15"/>
    </row>
    <row r="262">
      <c r="J262" s="15"/>
      <c r="V262" s="15"/>
      <c r="W262" s="15"/>
    </row>
    <row r="263">
      <c r="J263" s="15"/>
      <c r="V263" s="15"/>
      <c r="W263" s="15"/>
    </row>
    <row r="264">
      <c r="J264" s="15"/>
      <c r="V264" s="15"/>
      <c r="W264" s="15"/>
    </row>
    <row r="265">
      <c r="J265" s="15"/>
      <c r="V265" s="15"/>
      <c r="W265" s="15"/>
    </row>
    <row r="266">
      <c r="J266" s="15"/>
      <c r="V266" s="15"/>
      <c r="W266" s="15"/>
    </row>
    <row r="267">
      <c r="J267" s="15"/>
      <c r="V267" s="15"/>
      <c r="W267" s="15"/>
    </row>
    <row r="268">
      <c r="J268" s="15"/>
      <c r="V268" s="15"/>
      <c r="W268" s="15"/>
    </row>
    <row r="269">
      <c r="J269" s="15"/>
      <c r="V269" s="15"/>
      <c r="W269" s="15"/>
    </row>
    <row r="270">
      <c r="J270" s="15"/>
      <c r="V270" s="15"/>
      <c r="W270" s="15"/>
    </row>
    <row r="271">
      <c r="J271" s="15"/>
      <c r="V271" s="15"/>
      <c r="W271" s="15"/>
    </row>
    <row r="272">
      <c r="J272" s="15"/>
      <c r="V272" s="15"/>
      <c r="W272" s="15"/>
    </row>
    <row r="273">
      <c r="J273" s="15"/>
      <c r="V273" s="15"/>
      <c r="W273" s="15"/>
    </row>
    <row r="274">
      <c r="J274" s="15"/>
      <c r="V274" s="15"/>
      <c r="W274" s="15"/>
    </row>
    <row r="275">
      <c r="J275" s="15"/>
      <c r="V275" s="15"/>
      <c r="W275" s="15"/>
    </row>
    <row r="276">
      <c r="J276" s="15"/>
      <c r="V276" s="15"/>
      <c r="W276" s="15"/>
    </row>
    <row r="277">
      <c r="J277" s="15"/>
      <c r="V277" s="15"/>
      <c r="W277" s="15"/>
    </row>
    <row r="278">
      <c r="J278" s="15"/>
      <c r="V278" s="15"/>
      <c r="W278" s="15"/>
    </row>
    <row r="279">
      <c r="J279" s="15"/>
      <c r="V279" s="15"/>
      <c r="W279" s="15"/>
    </row>
    <row r="280">
      <c r="J280" s="15"/>
      <c r="V280" s="15"/>
      <c r="W280" s="15"/>
    </row>
    <row r="281">
      <c r="J281" s="15"/>
      <c r="V281" s="15"/>
      <c r="W281" s="15"/>
    </row>
    <row r="282">
      <c r="J282" s="15"/>
      <c r="V282" s="15"/>
      <c r="W282" s="15"/>
    </row>
    <row r="283">
      <c r="J283" s="15"/>
      <c r="V283" s="15"/>
      <c r="W283" s="15"/>
    </row>
    <row r="284">
      <c r="J284" s="15"/>
      <c r="V284" s="15"/>
      <c r="W284" s="15"/>
    </row>
    <row r="285">
      <c r="J285" s="15"/>
      <c r="V285" s="15"/>
      <c r="W285" s="15"/>
    </row>
    <row r="286">
      <c r="J286" s="15"/>
      <c r="V286" s="15"/>
      <c r="W286" s="15"/>
    </row>
    <row r="287">
      <c r="J287" s="15"/>
      <c r="V287" s="15"/>
      <c r="W287" s="15"/>
    </row>
    <row r="288">
      <c r="J288" s="15"/>
      <c r="V288" s="15"/>
      <c r="W288" s="15"/>
    </row>
    <row r="289">
      <c r="J289" s="15"/>
      <c r="V289" s="15"/>
      <c r="W289" s="15"/>
    </row>
    <row r="290">
      <c r="J290" s="15"/>
      <c r="V290" s="15"/>
      <c r="W290" s="15"/>
    </row>
    <row r="291">
      <c r="J291" s="15"/>
      <c r="V291" s="15"/>
      <c r="W291" s="15"/>
    </row>
    <row r="292">
      <c r="J292" s="15"/>
      <c r="V292" s="15"/>
      <c r="W292" s="15"/>
    </row>
    <row r="293">
      <c r="J293" s="15"/>
      <c r="V293" s="15"/>
      <c r="W293" s="15"/>
    </row>
    <row r="294">
      <c r="J294" s="15"/>
      <c r="V294" s="15"/>
      <c r="W294" s="15"/>
    </row>
    <row r="295">
      <c r="J295" s="15"/>
      <c r="V295" s="15"/>
      <c r="W295" s="15"/>
    </row>
    <row r="296">
      <c r="J296" s="15"/>
      <c r="V296" s="15"/>
      <c r="W296" s="15"/>
    </row>
    <row r="297">
      <c r="J297" s="15"/>
      <c r="V297" s="15"/>
      <c r="W297" s="15"/>
    </row>
    <row r="298">
      <c r="J298" s="15"/>
      <c r="V298" s="15"/>
      <c r="W298" s="15"/>
    </row>
    <row r="299">
      <c r="J299" s="15"/>
      <c r="V299" s="15"/>
      <c r="W299" s="15"/>
    </row>
    <row r="300">
      <c r="J300" s="15"/>
      <c r="V300" s="15"/>
      <c r="W300" s="15"/>
    </row>
    <row r="301">
      <c r="J301" s="15"/>
      <c r="V301" s="15"/>
      <c r="W301" s="15"/>
    </row>
    <row r="302">
      <c r="J302" s="15"/>
      <c r="V302" s="15"/>
      <c r="W302" s="15"/>
    </row>
    <row r="303">
      <c r="J303" s="15"/>
      <c r="V303" s="15"/>
      <c r="W303" s="15"/>
    </row>
    <row r="304">
      <c r="J304" s="15"/>
      <c r="V304" s="15"/>
      <c r="W304" s="15"/>
    </row>
    <row r="305">
      <c r="J305" s="15"/>
      <c r="V305" s="15"/>
      <c r="W305" s="15"/>
    </row>
    <row r="306">
      <c r="J306" s="15"/>
      <c r="V306" s="15"/>
      <c r="W306" s="15"/>
    </row>
    <row r="307">
      <c r="J307" s="15"/>
      <c r="V307" s="15"/>
      <c r="W307" s="15"/>
    </row>
    <row r="308">
      <c r="J308" s="15"/>
      <c r="V308" s="15"/>
      <c r="W308" s="15"/>
    </row>
    <row r="309">
      <c r="J309" s="15"/>
      <c r="V309" s="15"/>
      <c r="W309" s="15"/>
    </row>
    <row r="310">
      <c r="J310" s="15"/>
      <c r="V310" s="15"/>
      <c r="W310" s="15"/>
    </row>
    <row r="311">
      <c r="J311" s="15"/>
      <c r="V311" s="15"/>
      <c r="W311" s="15"/>
    </row>
    <row r="312">
      <c r="J312" s="15"/>
      <c r="V312" s="15"/>
      <c r="W312" s="15"/>
    </row>
    <row r="313">
      <c r="J313" s="15"/>
      <c r="V313" s="15"/>
      <c r="W313" s="15"/>
    </row>
    <row r="314">
      <c r="J314" s="15"/>
      <c r="V314" s="15"/>
      <c r="W314" s="15"/>
    </row>
    <row r="315">
      <c r="J315" s="15"/>
      <c r="V315" s="15"/>
      <c r="W315" s="15"/>
    </row>
    <row r="316">
      <c r="J316" s="15"/>
      <c r="V316" s="15"/>
      <c r="W316" s="15"/>
    </row>
    <row r="317">
      <c r="J317" s="15"/>
      <c r="V317" s="15"/>
      <c r="W317" s="15"/>
    </row>
    <row r="318">
      <c r="J318" s="15"/>
      <c r="V318" s="15"/>
      <c r="W318" s="15"/>
    </row>
    <row r="319">
      <c r="J319" s="15"/>
      <c r="V319" s="15"/>
      <c r="W319" s="15"/>
    </row>
    <row r="320">
      <c r="J320" s="15"/>
      <c r="V320" s="15"/>
      <c r="W320" s="15"/>
    </row>
    <row r="321">
      <c r="J321" s="15"/>
      <c r="V321" s="15"/>
      <c r="W321" s="15"/>
    </row>
    <row r="322">
      <c r="J322" s="15"/>
      <c r="V322" s="15"/>
      <c r="W322" s="15"/>
    </row>
    <row r="323">
      <c r="J323" s="15"/>
      <c r="V323" s="15"/>
      <c r="W323" s="15"/>
    </row>
    <row r="324">
      <c r="J324" s="15"/>
      <c r="V324" s="15"/>
      <c r="W324" s="15"/>
    </row>
    <row r="325">
      <c r="J325" s="15"/>
      <c r="V325" s="15"/>
      <c r="W325" s="15"/>
    </row>
    <row r="326">
      <c r="J326" s="15"/>
      <c r="V326" s="15"/>
      <c r="W326" s="15"/>
    </row>
    <row r="327">
      <c r="J327" s="15"/>
      <c r="V327" s="15"/>
      <c r="W327" s="15"/>
    </row>
    <row r="328">
      <c r="J328" s="15"/>
      <c r="V328" s="15"/>
      <c r="W328" s="15"/>
    </row>
    <row r="329">
      <c r="J329" s="15"/>
      <c r="V329" s="15"/>
      <c r="W329" s="15"/>
    </row>
    <row r="330">
      <c r="J330" s="15"/>
      <c r="V330" s="15"/>
      <c r="W330" s="15"/>
    </row>
    <row r="331">
      <c r="J331" s="15"/>
      <c r="V331" s="15"/>
      <c r="W331" s="15"/>
    </row>
    <row r="332">
      <c r="J332" s="15"/>
      <c r="V332" s="15"/>
      <c r="W332" s="15"/>
    </row>
    <row r="333">
      <c r="J333" s="15"/>
      <c r="V333" s="15"/>
      <c r="W333" s="15"/>
    </row>
    <row r="334">
      <c r="J334" s="15"/>
      <c r="V334" s="15"/>
      <c r="W334" s="15"/>
    </row>
    <row r="335">
      <c r="J335" s="15"/>
      <c r="V335" s="15"/>
      <c r="W335" s="15"/>
    </row>
    <row r="336">
      <c r="J336" s="15"/>
      <c r="V336" s="15"/>
      <c r="W336" s="15"/>
    </row>
    <row r="337">
      <c r="J337" s="15"/>
      <c r="V337" s="15"/>
      <c r="W337" s="15"/>
    </row>
    <row r="338">
      <c r="J338" s="15"/>
      <c r="V338" s="15"/>
      <c r="W338" s="15"/>
    </row>
    <row r="339">
      <c r="J339" s="15"/>
      <c r="V339" s="15"/>
      <c r="W339" s="15"/>
    </row>
    <row r="340">
      <c r="J340" s="15"/>
      <c r="V340" s="15"/>
      <c r="W340" s="15"/>
    </row>
    <row r="341">
      <c r="J341" s="15"/>
      <c r="V341" s="15"/>
      <c r="W341" s="15"/>
    </row>
    <row r="342">
      <c r="J342" s="15"/>
      <c r="V342" s="15"/>
      <c r="W342" s="15"/>
    </row>
    <row r="343">
      <c r="J343" s="15"/>
      <c r="V343" s="15"/>
      <c r="W343" s="15"/>
    </row>
    <row r="344">
      <c r="J344" s="15"/>
      <c r="V344" s="15"/>
      <c r="W344" s="15"/>
    </row>
    <row r="345">
      <c r="J345" s="15"/>
      <c r="V345" s="15"/>
      <c r="W345" s="15"/>
    </row>
    <row r="346">
      <c r="J346" s="15"/>
      <c r="V346" s="15"/>
      <c r="W346" s="15"/>
    </row>
    <row r="347">
      <c r="J347" s="15"/>
      <c r="V347" s="15"/>
      <c r="W347" s="15"/>
    </row>
    <row r="348">
      <c r="J348" s="15"/>
      <c r="V348" s="15"/>
      <c r="W348" s="15"/>
    </row>
    <row r="349">
      <c r="J349" s="15"/>
      <c r="V349" s="15"/>
      <c r="W349" s="15"/>
    </row>
    <row r="350">
      <c r="J350" s="15"/>
      <c r="V350" s="15"/>
      <c r="W350" s="15"/>
    </row>
    <row r="351">
      <c r="J351" s="15"/>
      <c r="V351" s="15"/>
      <c r="W351" s="15"/>
    </row>
    <row r="352">
      <c r="J352" s="15"/>
      <c r="V352" s="15"/>
      <c r="W352" s="15"/>
    </row>
    <row r="353">
      <c r="J353" s="15"/>
      <c r="V353" s="15"/>
      <c r="W353" s="15"/>
    </row>
    <row r="354">
      <c r="J354" s="15"/>
      <c r="V354" s="15"/>
      <c r="W354" s="15"/>
    </row>
    <row r="355">
      <c r="J355" s="15"/>
      <c r="V355" s="15"/>
      <c r="W355" s="15"/>
    </row>
    <row r="356">
      <c r="J356" s="15"/>
      <c r="V356" s="15"/>
      <c r="W356" s="15"/>
    </row>
    <row r="357">
      <c r="J357" s="15"/>
      <c r="V357" s="15"/>
      <c r="W357" s="15"/>
    </row>
    <row r="358">
      <c r="J358" s="15"/>
      <c r="V358" s="15"/>
      <c r="W358" s="15"/>
    </row>
    <row r="359">
      <c r="J359" s="15"/>
      <c r="V359" s="15"/>
      <c r="W359" s="15"/>
    </row>
    <row r="360">
      <c r="J360" s="15"/>
      <c r="V360" s="15"/>
      <c r="W360" s="15"/>
    </row>
    <row r="361">
      <c r="J361" s="15"/>
      <c r="V361" s="15"/>
      <c r="W361" s="15"/>
    </row>
    <row r="362">
      <c r="J362" s="15"/>
      <c r="V362" s="15"/>
      <c r="W362" s="15"/>
    </row>
    <row r="363">
      <c r="J363" s="15"/>
      <c r="V363" s="15"/>
      <c r="W363" s="15"/>
    </row>
    <row r="364">
      <c r="J364" s="15"/>
      <c r="V364" s="15"/>
      <c r="W364" s="15"/>
    </row>
    <row r="365">
      <c r="J365" s="15"/>
      <c r="V365" s="15"/>
      <c r="W365" s="15"/>
    </row>
    <row r="366">
      <c r="J366" s="15"/>
      <c r="V366" s="15"/>
      <c r="W366" s="15"/>
    </row>
    <row r="367">
      <c r="J367" s="15"/>
      <c r="V367" s="15"/>
      <c r="W367" s="15"/>
    </row>
    <row r="368">
      <c r="J368" s="15"/>
      <c r="V368" s="15"/>
      <c r="W368" s="15"/>
    </row>
    <row r="369">
      <c r="J369" s="15"/>
      <c r="V369" s="15"/>
      <c r="W369" s="15"/>
    </row>
    <row r="370">
      <c r="J370" s="15"/>
      <c r="V370" s="15"/>
      <c r="W370" s="15"/>
    </row>
    <row r="371">
      <c r="J371" s="15"/>
      <c r="V371" s="15"/>
      <c r="W371" s="15"/>
    </row>
    <row r="372">
      <c r="J372" s="15"/>
      <c r="V372" s="15"/>
      <c r="W372" s="15"/>
    </row>
    <row r="373">
      <c r="J373" s="15"/>
      <c r="V373" s="15"/>
      <c r="W373" s="15"/>
    </row>
    <row r="374">
      <c r="J374" s="15"/>
      <c r="V374" s="15"/>
      <c r="W374" s="15"/>
    </row>
    <row r="375">
      <c r="J375" s="15"/>
      <c r="V375" s="15"/>
      <c r="W375" s="15"/>
    </row>
    <row r="376">
      <c r="J376" s="15"/>
      <c r="V376" s="15"/>
      <c r="W376" s="15"/>
    </row>
    <row r="377">
      <c r="J377" s="15"/>
      <c r="V377" s="15"/>
      <c r="W377" s="15"/>
    </row>
    <row r="378">
      <c r="J378" s="15"/>
      <c r="V378" s="15"/>
      <c r="W378" s="15"/>
    </row>
    <row r="379">
      <c r="J379" s="15"/>
      <c r="V379" s="15"/>
      <c r="W379" s="15"/>
    </row>
    <row r="380">
      <c r="J380" s="15"/>
      <c r="V380" s="15"/>
      <c r="W380" s="15"/>
    </row>
    <row r="381">
      <c r="J381" s="15"/>
      <c r="V381" s="15"/>
      <c r="W381" s="15"/>
    </row>
    <row r="382">
      <c r="J382" s="15"/>
      <c r="V382" s="15"/>
      <c r="W382" s="15"/>
    </row>
    <row r="383">
      <c r="J383" s="15"/>
      <c r="V383" s="15"/>
      <c r="W383" s="15"/>
    </row>
    <row r="384">
      <c r="J384" s="15"/>
      <c r="V384" s="15"/>
      <c r="W384" s="15"/>
    </row>
    <row r="385">
      <c r="J385" s="15"/>
      <c r="V385" s="15"/>
      <c r="W385" s="15"/>
    </row>
    <row r="386">
      <c r="J386" s="15"/>
      <c r="V386" s="15"/>
      <c r="W386" s="15"/>
    </row>
    <row r="387">
      <c r="J387" s="15"/>
      <c r="V387" s="15"/>
      <c r="W387" s="15"/>
    </row>
    <row r="388">
      <c r="J388" s="15"/>
      <c r="V388" s="15"/>
      <c r="W388" s="15"/>
    </row>
    <row r="389">
      <c r="J389" s="15"/>
      <c r="V389" s="15"/>
      <c r="W389" s="15"/>
    </row>
    <row r="390">
      <c r="J390" s="15"/>
      <c r="V390" s="15"/>
      <c r="W390" s="15"/>
    </row>
    <row r="391">
      <c r="J391" s="15"/>
      <c r="V391" s="15"/>
      <c r="W391" s="15"/>
    </row>
    <row r="392">
      <c r="J392" s="15"/>
      <c r="V392" s="15"/>
      <c r="W392" s="15"/>
    </row>
    <row r="393">
      <c r="J393" s="15"/>
      <c r="V393" s="15"/>
      <c r="W393" s="15"/>
    </row>
    <row r="394">
      <c r="J394" s="15"/>
      <c r="V394" s="15"/>
      <c r="W394" s="15"/>
    </row>
    <row r="395">
      <c r="J395" s="15"/>
      <c r="V395" s="15"/>
      <c r="W395" s="15"/>
    </row>
    <row r="396">
      <c r="J396" s="15"/>
      <c r="V396" s="15"/>
      <c r="W396" s="15"/>
    </row>
    <row r="397">
      <c r="J397" s="15"/>
      <c r="V397" s="15"/>
      <c r="W397" s="15"/>
    </row>
    <row r="398">
      <c r="J398" s="15"/>
      <c r="V398" s="15"/>
      <c r="W398" s="15"/>
    </row>
    <row r="399">
      <c r="J399" s="15"/>
      <c r="V399" s="15"/>
      <c r="W399" s="15"/>
    </row>
    <row r="400">
      <c r="J400" s="15"/>
      <c r="V400" s="15"/>
      <c r="W400" s="15"/>
    </row>
    <row r="401">
      <c r="J401" s="15"/>
      <c r="V401" s="15"/>
      <c r="W401" s="15"/>
    </row>
    <row r="402">
      <c r="J402" s="15"/>
      <c r="V402" s="15"/>
      <c r="W402" s="15"/>
    </row>
    <row r="403">
      <c r="J403" s="15"/>
      <c r="V403" s="15"/>
      <c r="W403" s="15"/>
    </row>
    <row r="404">
      <c r="J404" s="15"/>
      <c r="V404" s="15"/>
      <c r="W404" s="15"/>
    </row>
    <row r="405">
      <c r="J405" s="15"/>
      <c r="V405" s="15"/>
      <c r="W405" s="15"/>
    </row>
    <row r="406">
      <c r="J406" s="15"/>
      <c r="V406" s="15"/>
      <c r="W406" s="15"/>
    </row>
    <row r="407">
      <c r="J407" s="15"/>
      <c r="V407" s="15"/>
      <c r="W407" s="15"/>
    </row>
    <row r="408">
      <c r="J408" s="15"/>
      <c r="V408" s="15"/>
      <c r="W408" s="15"/>
    </row>
    <row r="409">
      <c r="J409" s="15"/>
      <c r="V409" s="15"/>
      <c r="W409" s="15"/>
    </row>
    <row r="410">
      <c r="J410" s="15"/>
      <c r="V410" s="15"/>
      <c r="W410" s="15"/>
    </row>
    <row r="411">
      <c r="J411" s="15"/>
      <c r="V411" s="15"/>
      <c r="W411" s="15"/>
    </row>
    <row r="412">
      <c r="J412" s="15"/>
      <c r="V412" s="15"/>
      <c r="W412" s="15"/>
    </row>
    <row r="413">
      <c r="J413" s="15"/>
      <c r="V413" s="15"/>
      <c r="W413" s="15"/>
    </row>
    <row r="414">
      <c r="J414" s="15"/>
      <c r="V414" s="15"/>
      <c r="W414" s="15"/>
    </row>
    <row r="415">
      <c r="J415" s="15"/>
      <c r="V415" s="15"/>
      <c r="W415" s="15"/>
    </row>
    <row r="416">
      <c r="J416" s="15"/>
      <c r="V416" s="15"/>
      <c r="W416" s="15"/>
    </row>
    <row r="417">
      <c r="J417" s="15"/>
      <c r="V417" s="15"/>
      <c r="W417" s="15"/>
    </row>
    <row r="418">
      <c r="J418" s="15"/>
      <c r="V418" s="15"/>
      <c r="W418" s="15"/>
    </row>
    <row r="419">
      <c r="J419" s="15"/>
      <c r="V419" s="15"/>
      <c r="W419" s="15"/>
    </row>
    <row r="420">
      <c r="J420" s="15"/>
      <c r="V420" s="15"/>
      <c r="W420" s="15"/>
    </row>
    <row r="421">
      <c r="J421" s="15"/>
      <c r="V421" s="15"/>
      <c r="W421" s="15"/>
    </row>
    <row r="422">
      <c r="J422" s="15"/>
      <c r="V422" s="15"/>
      <c r="W422" s="15"/>
    </row>
    <row r="423">
      <c r="J423" s="15"/>
      <c r="V423" s="15"/>
      <c r="W423" s="15"/>
    </row>
    <row r="424">
      <c r="J424" s="15"/>
      <c r="V424" s="15"/>
      <c r="W424" s="15"/>
    </row>
    <row r="425">
      <c r="J425" s="15"/>
      <c r="V425" s="15"/>
      <c r="W425" s="15"/>
    </row>
    <row r="426">
      <c r="J426" s="15"/>
      <c r="V426" s="15"/>
      <c r="W426" s="15"/>
    </row>
    <row r="427">
      <c r="J427" s="15"/>
      <c r="V427" s="15"/>
      <c r="W427" s="15"/>
    </row>
    <row r="428">
      <c r="J428" s="15"/>
      <c r="V428" s="15"/>
      <c r="W428" s="15"/>
    </row>
    <row r="429">
      <c r="J429" s="15"/>
      <c r="V429" s="15"/>
      <c r="W429" s="15"/>
    </row>
    <row r="430">
      <c r="J430" s="15"/>
      <c r="V430" s="15"/>
      <c r="W430" s="15"/>
    </row>
    <row r="431">
      <c r="J431" s="15"/>
      <c r="V431" s="15"/>
      <c r="W431" s="15"/>
    </row>
    <row r="432">
      <c r="J432" s="15"/>
      <c r="V432" s="15"/>
      <c r="W432" s="15"/>
    </row>
    <row r="433">
      <c r="J433" s="15"/>
      <c r="V433" s="15"/>
      <c r="W433" s="15"/>
    </row>
    <row r="434">
      <c r="J434" s="15"/>
      <c r="V434" s="15"/>
      <c r="W434" s="15"/>
    </row>
    <row r="435">
      <c r="J435" s="15"/>
      <c r="V435" s="15"/>
      <c r="W435" s="15"/>
    </row>
    <row r="436">
      <c r="J436" s="15"/>
      <c r="V436" s="15"/>
      <c r="W436" s="15"/>
    </row>
    <row r="437">
      <c r="J437" s="15"/>
      <c r="V437" s="15"/>
      <c r="W437" s="15"/>
    </row>
    <row r="438">
      <c r="J438" s="15"/>
      <c r="V438" s="15"/>
      <c r="W438" s="15"/>
    </row>
    <row r="439">
      <c r="J439" s="15"/>
      <c r="V439" s="15"/>
      <c r="W439" s="15"/>
    </row>
    <row r="440">
      <c r="J440" s="15"/>
      <c r="V440" s="15"/>
      <c r="W440" s="15"/>
    </row>
    <row r="441">
      <c r="J441" s="15"/>
      <c r="V441" s="15"/>
      <c r="W441" s="15"/>
    </row>
    <row r="442">
      <c r="J442" s="15"/>
      <c r="V442" s="15"/>
      <c r="W442" s="15"/>
    </row>
    <row r="443">
      <c r="J443" s="15"/>
      <c r="V443" s="15"/>
      <c r="W443" s="15"/>
    </row>
    <row r="444">
      <c r="J444" s="15"/>
      <c r="V444" s="15"/>
      <c r="W444" s="15"/>
    </row>
    <row r="445">
      <c r="J445" s="15"/>
      <c r="V445" s="15"/>
      <c r="W445" s="15"/>
    </row>
    <row r="446">
      <c r="J446" s="15"/>
      <c r="V446" s="15"/>
      <c r="W446" s="15"/>
    </row>
    <row r="447">
      <c r="J447" s="15"/>
      <c r="V447" s="15"/>
      <c r="W447" s="15"/>
    </row>
    <row r="448">
      <c r="J448" s="15"/>
      <c r="V448" s="15"/>
      <c r="W448" s="15"/>
    </row>
    <row r="449">
      <c r="J449" s="15"/>
      <c r="V449" s="15"/>
      <c r="W449" s="15"/>
    </row>
    <row r="450">
      <c r="J450" s="15"/>
      <c r="V450" s="15"/>
      <c r="W450" s="15"/>
    </row>
    <row r="451">
      <c r="J451" s="15"/>
      <c r="V451" s="15"/>
      <c r="W451" s="15"/>
    </row>
    <row r="452">
      <c r="J452" s="15"/>
      <c r="V452" s="15"/>
      <c r="W452" s="15"/>
    </row>
    <row r="453">
      <c r="J453" s="15"/>
      <c r="V453" s="15"/>
      <c r="W453" s="15"/>
    </row>
    <row r="454">
      <c r="J454" s="15"/>
      <c r="V454" s="15"/>
      <c r="W454" s="15"/>
    </row>
    <row r="455">
      <c r="J455" s="15"/>
      <c r="V455" s="15"/>
      <c r="W455" s="15"/>
    </row>
    <row r="456">
      <c r="J456" s="15"/>
      <c r="V456" s="15"/>
      <c r="W456" s="15"/>
    </row>
    <row r="457">
      <c r="J457" s="15"/>
      <c r="V457" s="15"/>
      <c r="W457" s="15"/>
    </row>
    <row r="458">
      <c r="J458" s="15"/>
      <c r="V458" s="15"/>
      <c r="W458" s="15"/>
    </row>
    <row r="459">
      <c r="J459" s="15"/>
      <c r="V459" s="15"/>
      <c r="W459" s="15"/>
    </row>
    <row r="460">
      <c r="J460" s="15"/>
      <c r="V460" s="15"/>
      <c r="W460" s="15"/>
    </row>
    <row r="461">
      <c r="J461" s="15"/>
      <c r="V461" s="15"/>
      <c r="W461" s="15"/>
    </row>
    <row r="462">
      <c r="J462" s="15"/>
      <c r="V462" s="15"/>
      <c r="W462" s="15"/>
    </row>
    <row r="463">
      <c r="J463" s="15"/>
      <c r="V463" s="15"/>
      <c r="W463" s="15"/>
    </row>
    <row r="464">
      <c r="J464" s="15"/>
      <c r="V464" s="15"/>
      <c r="W464" s="15"/>
    </row>
    <row r="465">
      <c r="J465" s="15"/>
      <c r="V465" s="15"/>
      <c r="W465" s="15"/>
    </row>
    <row r="466">
      <c r="J466" s="15"/>
      <c r="V466" s="15"/>
      <c r="W466" s="15"/>
    </row>
    <row r="467">
      <c r="J467" s="15"/>
      <c r="V467" s="15"/>
      <c r="W467" s="15"/>
    </row>
    <row r="468">
      <c r="J468" s="15"/>
      <c r="V468" s="15"/>
      <c r="W468" s="15"/>
    </row>
    <row r="469">
      <c r="J469" s="15"/>
      <c r="V469" s="15"/>
      <c r="W469" s="15"/>
    </row>
    <row r="470">
      <c r="J470" s="15"/>
      <c r="V470" s="15"/>
      <c r="W470" s="15"/>
    </row>
    <row r="471">
      <c r="J471" s="15"/>
      <c r="V471" s="15"/>
      <c r="W471" s="15"/>
    </row>
    <row r="472">
      <c r="J472" s="15"/>
      <c r="V472" s="15"/>
      <c r="W472" s="15"/>
    </row>
    <row r="473">
      <c r="J473" s="15"/>
      <c r="V473" s="15"/>
      <c r="W473" s="15"/>
    </row>
    <row r="474">
      <c r="J474" s="15"/>
      <c r="V474" s="15"/>
      <c r="W474" s="15"/>
    </row>
    <row r="475">
      <c r="J475" s="15"/>
      <c r="V475" s="15"/>
      <c r="W475" s="15"/>
    </row>
    <row r="476">
      <c r="J476" s="15"/>
      <c r="V476" s="15"/>
      <c r="W476" s="15"/>
    </row>
    <row r="477">
      <c r="J477" s="15"/>
      <c r="V477" s="15"/>
      <c r="W477" s="15"/>
    </row>
    <row r="478">
      <c r="J478" s="15"/>
      <c r="V478" s="15"/>
      <c r="W478" s="15"/>
    </row>
    <row r="479">
      <c r="J479" s="15"/>
      <c r="V479" s="15"/>
      <c r="W479" s="15"/>
    </row>
    <row r="480">
      <c r="J480" s="15"/>
      <c r="V480" s="15"/>
      <c r="W480" s="15"/>
    </row>
    <row r="481">
      <c r="J481" s="15"/>
      <c r="V481" s="15"/>
      <c r="W481" s="15"/>
    </row>
    <row r="482">
      <c r="J482" s="15"/>
      <c r="V482" s="15"/>
      <c r="W482" s="15"/>
    </row>
    <row r="483">
      <c r="J483" s="15"/>
      <c r="V483" s="15"/>
      <c r="W483" s="15"/>
    </row>
    <row r="484">
      <c r="J484" s="15"/>
      <c r="V484" s="15"/>
      <c r="W484" s="15"/>
    </row>
    <row r="485">
      <c r="J485" s="15"/>
      <c r="V485" s="15"/>
      <c r="W485" s="15"/>
    </row>
    <row r="486">
      <c r="J486" s="15"/>
      <c r="V486" s="15"/>
      <c r="W486" s="15"/>
    </row>
    <row r="487">
      <c r="J487" s="15"/>
      <c r="V487" s="15"/>
      <c r="W487" s="15"/>
    </row>
    <row r="488">
      <c r="J488" s="15"/>
      <c r="V488" s="15"/>
      <c r="W488" s="15"/>
    </row>
    <row r="489">
      <c r="J489" s="15"/>
      <c r="V489" s="15"/>
      <c r="W489" s="15"/>
    </row>
    <row r="490">
      <c r="J490" s="15"/>
      <c r="V490" s="15"/>
      <c r="W490" s="15"/>
    </row>
    <row r="491">
      <c r="J491" s="15"/>
      <c r="V491" s="15"/>
      <c r="W491" s="15"/>
    </row>
    <row r="492">
      <c r="J492" s="15"/>
      <c r="V492" s="15"/>
      <c r="W492" s="15"/>
    </row>
    <row r="493">
      <c r="J493" s="15"/>
      <c r="V493" s="15"/>
      <c r="W493" s="15"/>
    </row>
    <row r="494">
      <c r="J494" s="15"/>
      <c r="V494" s="15"/>
      <c r="W494" s="15"/>
    </row>
    <row r="495">
      <c r="J495" s="15"/>
      <c r="V495" s="15"/>
      <c r="W495" s="15"/>
    </row>
    <row r="496">
      <c r="J496" s="15"/>
      <c r="V496" s="15"/>
      <c r="W496" s="15"/>
    </row>
    <row r="497">
      <c r="J497" s="15"/>
      <c r="V497" s="15"/>
      <c r="W497" s="15"/>
    </row>
    <row r="498">
      <c r="J498" s="15"/>
      <c r="V498" s="15"/>
      <c r="W498" s="15"/>
    </row>
    <row r="499">
      <c r="J499" s="15"/>
      <c r="V499" s="15"/>
      <c r="W499" s="15"/>
    </row>
    <row r="500">
      <c r="J500" s="15"/>
      <c r="V500" s="15"/>
      <c r="W500" s="15"/>
    </row>
    <row r="501">
      <c r="J501" s="15"/>
      <c r="V501" s="15"/>
      <c r="W501" s="15"/>
    </row>
    <row r="502">
      <c r="J502" s="15"/>
      <c r="V502" s="15"/>
      <c r="W502" s="15"/>
    </row>
    <row r="503">
      <c r="J503" s="15"/>
      <c r="V503" s="15"/>
      <c r="W503" s="15"/>
    </row>
    <row r="504">
      <c r="J504" s="15"/>
      <c r="V504" s="15"/>
      <c r="W504" s="15"/>
    </row>
    <row r="505">
      <c r="J505" s="15"/>
      <c r="V505" s="15"/>
      <c r="W505" s="15"/>
    </row>
    <row r="506">
      <c r="J506" s="15"/>
      <c r="V506" s="15"/>
      <c r="W506" s="15"/>
    </row>
    <row r="507">
      <c r="J507" s="15"/>
      <c r="V507" s="15"/>
      <c r="W507" s="15"/>
    </row>
    <row r="508">
      <c r="J508" s="15"/>
      <c r="V508" s="15"/>
      <c r="W508" s="15"/>
    </row>
    <row r="509">
      <c r="J509" s="15"/>
      <c r="V509" s="15"/>
      <c r="W509" s="15"/>
    </row>
    <row r="510">
      <c r="J510" s="15"/>
      <c r="V510" s="15"/>
      <c r="W510" s="15"/>
    </row>
    <row r="511">
      <c r="J511" s="15"/>
      <c r="V511" s="15"/>
      <c r="W511" s="15"/>
    </row>
    <row r="512">
      <c r="J512" s="15"/>
      <c r="V512" s="15"/>
      <c r="W512" s="15"/>
    </row>
    <row r="513">
      <c r="J513" s="15"/>
      <c r="V513" s="15"/>
      <c r="W513" s="15"/>
    </row>
    <row r="514">
      <c r="J514" s="15"/>
      <c r="V514" s="15"/>
      <c r="W514" s="15"/>
    </row>
    <row r="515">
      <c r="J515" s="15"/>
      <c r="V515" s="15"/>
      <c r="W515" s="15"/>
    </row>
    <row r="516">
      <c r="J516" s="15"/>
      <c r="V516" s="15"/>
      <c r="W516" s="15"/>
    </row>
    <row r="517">
      <c r="J517" s="15"/>
      <c r="V517" s="15"/>
      <c r="W517" s="15"/>
    </row>
    <row r="518">
      <c r="J518" s="15"/>
      <c r="V518" s="15"/>
      <c r="W518" s="15"/>
    </row>
    <row r="519">
      <c r="J519" s="15"/>
      <c r="V519" s="15"/>
      <c r="W519" s="15"/>
    </row>
    <row r="520">
      <c r="J520" s="15"/>
      <c r="V520" s="15"/>
      <c r="W520" s="15"/>
    </row>
    <row r="521">
      <c r="J521" s="15"/>
      <c r="V521" s="15"/>
      <c r="W521" s="15"/>
    </row>
    <row r="522">
      <c r="J522" s="15"/>
      <c r="V522" s="15"/>
      <c r="W522" s="15"/>
    </row>
    <row r="523">
      <c r="J523" s="15"/>
      <c r="V523" s="15"/>
      <c r="W523" s="15"/>
    </row>
    <row r="524">
      <c r="J524" s="15"/>
      <c r="V524" s="15"/>
      <c r="W524" s="15"/>
    </row>
    <row r="525">
      <c r="J525" s="15"/>
      <c r="V525" s="15"/>
      <c r="W525" s="15"/>
    </row>
    <row r="526">
      <c r="J526" s="15"/>
      <c r="V526" s="15"/>
      <c r="W526" s="15"/>
    </row>
    <row r="527">
      <c r="J527" s="15"/>
      <c r="V527" s="15"/>
      <c r="W527" s="15"/>
    </row>
    <row r="528">
      <c r="J528" s="15"/>
      <c r="V528" s="15"/>
      <c r="W528" s="15"/>
    </row>
    <row r="529">
      <c r="J529" s="15"/>
      <c r="V529" s="15"/>
      <c r="W529" s="15"/>
    </row>
    <row r="530">
      <c r="J530" s="15"/>
      <c r="V530" s="15"/>
      <c r="W530" s="15"/>
    </row>
    <row r="531">
      <c r="J531" s="15"/>
      <c r="V531" s="15"/>
      <c r="W531" s="15"/>
    </row>
    <row r="532">
      <c r="J532" s="15"/>
      <c r="V532" s="15"/>
      <c r="W532" s="15"/>
    </row>
    <row r="533">
      <c r="J533" s="15"/>
      <c r="V533" s="15"/>
      <c r="W533" s="15"/>
    </row>
    <row r="534">
      <c r="J534" s="15"/>
      <c r="V534" s="15"/>
      <c r="W534" s="15"/>
    </row>
    <row r="535">
      <c r="J535" s="15"/>
      <c r="V535" s="15"/>
      <c r="W535" s="15"/>
    </row>
    <row r="536">
      <c r="J536" s="15"/>
      <c r="V536" s="15"/>
      <c r="W536" s="15"/>
    </row>
    <row r="537">
      <c r="J537" s="15"/>
      <c r="V537" s="15"/>
      <c r="W537" s="15"/>
    </row>
    <row r="538">
      <c r="J538" s="15"/>
      <c r="V538" s="15"/>
      <c r="W538" s="15"/>
    </row>
    <row r="539">
      <c r="J539" s="15"/>
      <c r="V539" s="15"/>
      <c r="W539" s="15"/>
    </row>
    <row r="540">
      <c r="J540" s="15"/>
      <c r="V540" s="15"/>
      <c r="W540" s="15"/>
    </row>
    <row r="541">
      <c r="J541" s="15"/>
      <c r="V541" s="15"/>
      <c r="W541" s="15"/>
    </row>
    <row r="542">
      <c r="J542" s="15"/>
      <c r="V542" s="15"/>
      <c r="W542" s="15"/>
    </row>
    <row r="543">
      <c r="J543" s="15"/>
      <c r="V543" s="15"/>
      <c r="W543" s="15"/>
    </row>
    <row r="544">
      <c r="J544" s="15"/>
      <c r="V544" s="15"/>
      <c r="W544" s="15"/>
    </row>
    <row r="545">
      <c r="J545" s="15"/>
      <c r="V545" s="15"/>
      <c r="W545" s="15"/>
    </row>
    <row r="546">
      <c r="J546" s="15"/>
      <c r="V546" s="15"/>
      <c r="W546" s="15"/>
    </row>
    <row r="547">
      <c r="J547" s="15"/>
      <c r="V547" s="15"/>
      <c r="W547" s="15"/>
    </row>
    <row r="548">
      <c r="J548" s="15"/>
      <c r="V548" s="15"/>
      <c r="W548" s="15"/>
    </row>
    <row r="549">
      <c r="J549" s="15"/>
      <c r="V549" s="15"/>
      <c r="W549" s="15"/>
    </row>
    <row r="550">
      <c r="J550" s="15"/>
      <c r="V550" s="15"/>
      <c r="W550" s="15"/>
    </row>
    <row r="551">
      <c r="J551" s="15"/>
      <c r="V551" s="15"/>
      <c r="W551" s="15"/>
    </row>
    <row r="552">
      <c r="J552" s="15"/>
      <c r="V552" s="15"/>
      <c r="W552" s="15"/>
    </row>
    <row r="553">
      <c r="J553" s="15"/>
      <c r="V553" s="15"/>
      <c r="W553" s="15"/>
    </row>
    <row r="554">
      <c r="J554" s="15"/>
      <c r="V554" s="15"/>
      <c r="W554" s="15"/>
    </row>
    <row r="555">
      <c r="J555" s="15"/>
      <c r="V555" s="15"/>
      <c r="W555" s="15"/>
    </row>
    <row r="556">
      <c r="J556" s="15"/>
      <c r="V556" s="15"/>
      <c r="W556" s="15"/>
    </row>
    <row r="557">
      <c r="J557" s="15"/>
      <c r="V557" s="15"/>
      <c r="W557" s="15"/>
    </row>
    <row r="558">
      <c r="J558" s="15"/>
      <c r="V558" s="15"/>
      <c r="W558" s="15"/>
    </row>
    <row r="559">
      <c r="J559" s="15"/>
      <c r="V559" s="15"/>
      <c r="W559" s="15"/>
    </row>
    <row r="560">
      <c r="J560" s="15"/>
      <c r="V560" s="15"/>
      <c r="W560" s="15"/>
    </row>
    <row r="561">
      <c r="J561" s="15"/>
      <c r="V561" s="15"/>
      <c r="W561" s="15"/>
    </row>
    <row r="562">
      <c r="J562" s="15"/>
      <c r="V562" s="15"/>
      <c r="W562" s="15"/>
    </row>
    <row r="563">
      <c r="J563" s="15"/>
      <c r="V563" s="15"/>
      <c r="W563" s="15"/>
    </row>
    <row r="564">
      <c r="J564" s="15"/>
      <c r="V564" s="15"/>
      <c r="W564" s="15"/>
    </row>
    <row r="565">
      <c r="J565" s="15"/>
      <c r="V565" s="15"/>
      <c r="W565" s="15"/>
    </row>
    <row r="566">
      <c r="J566" s="15"/>
      <c r="V566" s="15"/>
      <c r="W566" s="15"/>
    </row>
    <row r="567">
      <c r="J567" s="15"/>
      <c r="V567" s="15"/>
      <c r="W567" s="15"/>
    </row>
    <row r="568">
      <c r="J568" s="15"/>
      <c r="V568" s="15"/>
      <c r="W568" s="15"/>
    </row>
    <row r="569">
      <c r="J569" s="15"/>
      <c r="V569" s="15"/>
      <c r="W569" s="15"/>
    </row>
    <row r="570">
      <c r="J570" s="15"/>
      <c r="V570" s="15"/>
      <c r="W570" s="15"/>
    </row>
    <row r="571">
      <c r="J571" s="15"/>
      <c r="V571" s="15"/>
      <c r="W571" s="15"/>
    </row>
    <row r="572">
      <c r="J572" s="15"/>
      <c r="V572" s="15"/>
      <c r="W572" s="15"/>
    </row>
    <row r="573">
      <c r="J573" s="15"/>
      <c r="V573" s="15"/>
      <c r="W573" s="15"/>
    </row>
    <row r="574">
      <c r="J574" s="15"/>
      <c r="V574" s="15"/>
      <c r="W574" s="15"/>
    </row>
    <row r="575">
      <c r="J575" s="15"/>
      <c r="V575" s="15"/>
      <c r="W575" s="15"/>
    </row>
    <row r="576">
      <c r="J576" s="15"/>
      <c r="V576" s="15"/>
      <c r="W576" s="15"/>
    </row>
    <row r="577">
      <c r="J577" s="15"/>
      <c r="V577" s="15"/>
      <c r="W577" s="15"/>
    </row>
    <row r="578">
      <c r="J578" s="15"/>
      <c r="V578" s="15"/>
      <c r="W578" s="15"/>
    </row>
    <row r="579">
      <c r="J579" s="15"/>
      <c r="V579" s="15"/>
      <c r="W579" s="15"/>
    </row>
    <row r="580">
      <c r="J580" s="15"/>
      <c r="V580" s="15"/>
      <c r="W580" s="15"/>
    </row>
    <row r="581">
      <c r="J581" s="15"/>
      <c r="V581" s="15"/>
      <c r="W581" s="15"/>
    </row>
    <row r="582">
      <c r="J582" s="15"/>
      <c r="V582" s="15"/>
      <c r="W582" s="15"/>
    </row>
    <row r="583">
      <c r="J583" s="15"/>
      <c r="V583" s="15"/>
      <c r="W583" s="15"/>
    </row>
    <row r="584">
      <c r="J584" s="15"/>
      <c r="V584" s="15"/>
      <c r="W584" s="15"/>
    </row>
    <row r="585">
      <c r="J585" s="15"/>
      <c r="V585" s="15"/>
      <c r="W585" s="15"/>
    </row>
    <row r="586">
      <c r="J586" s="15"/>
      <c r="V586" s="15"/>
      <c r="W586" s="15"/>
    </row>
    <row r="587">
      <c r="J587" s="15"/>
      <c r="V587" s="15"/>
      <c r="W587" s="15"/>
    </row>
    <row r="588">
      <c r="J588" s="15"/>
      <c r="V588" s="15"/>
      <c r="W588" s="15"/>
    </row>
    <row r="589">
      <c r="J589" s="15"/>
      <c r="V589" s="15"/>
      <c r="W589" s="15"/>
    </row>
    <row r="590">
      <c r="J590" s="15"/>
      <c r="V590" s="15"/>
      <c r="W590" s="15"/>
    </row>
    <row r="591">
      <c r="J591" s="15"/>
      <c r="V591" s="15"/>
      <c r="W591" s="15"/>
    </row>
    <row r="592">
      <c r="J592" s="15"/>
      <c r="V592" s="15"/>
      <c r="W592" s="15"/>
    </row>
    <row r="593">
      <c r="J593" s="15"/>
      <c r="V593" s="15"/>
      <c r="W593" s="15"/>
    </row>
    <row r="594">
      <c r="J594" s="15"/>
      <c r="V594" s="15"/>
      <c r="W594" s="15"/>
    </row>
    <row r="595">
      <c r="J595" s="15"/>
      <c r="V595" s="15"/>
      <c r="W595" s="15"/>
    </row>
    <row r="596">
      <c r="J596" s="15"/>
      <c r="V596" s="15"/>
      <c r="W596" s="15"/>
    </row>
    <row r="597">
      <c r="J597" s="15"/>
      <c r="V597" s="15"/>
      <c r="W597" s="15"/>
    </row>
    <row r="598">
      <c r="J598" s="15"/>
      <c r="V598" s="15"/>
      <c r="W598" s="15"/>
    </row>
    <row r="599">
      <c r="J599" s="15"/>
      <c r="V599" s="15"/>
      <c r="W599" s="15"/>
    </row>
    <row r="600">
      <c r="J600" s="15"/>
      <c r="V600" s="15"/>
      <c r="W600" s="15"/>
    </row>
    <row r="601">
      <c r="J601" s="15"/>
      <c r="V601" s="15"/>
      <c r="W601" s="15"/>
    </row>
    <row r="602">
      <c r="J602" s="15"/>
      <c r="V602" s="15"/>
      <c r="W602" s="15"/>
    </row>
    <row r="603">
      <c r="J603" s="15"/>
      <c r="V603" s="15"/>
      <c r="W603" s="15"/>
    </row>
    <row r="604">
      <c r="J604" s="15"/>
      <c r="V604" s="15"/>
      <c r="W604" s="15"/>
    </row>
    <row r="605">
      <c r="J605" s="15"/>
      <c r="V605" s="15"/>
      <c r="W605" s="15"/>
    </row>
    <row r="606">
      <c r="J606" s="15"/>
      <c r="V606" s="15"/>
      <c r="W606" s="15"/>
    </row>
    <row r="607">
      <c r="J607" s="15"/>
      <c r="V607" s="15"/>
      <c r="W607" s="15"/>
    </row>
    <row r="608">
      <c r="J608" s="15"/>
      <c r="V608" s="15"/>
      <c r="W608" s="15"/>
    </row>
    <row r="609">
      <c r="J609" s="15"/>
      <c r="V609" s="15"/>
      <c r="W609" s="15"/>
    </row>
    <row r="610">
      <c r="J610" s="15"/>
      <c r="V610" s="15"/>
      <c r="W610" s="15"/>
    </row>
    <row r="611">
      <c r="J611" s="15"/>
      <c r="V611" s="15"/>
      <c r="W611" s="15"/>
    </row>
    <row r="612">
      <c r="J612" s="15"/>
      <c r="V612" s="15"/>
      <c r="W612" s="15"/>
    </row>
    <row r="613">
      <c r="J613" s="15"/>
      <c r="V613" s="15"/>
      <c r="W613" s="15"/>
    </row>
    <row r="614">
      <c r="J614" s="15"/>
      <c r="V614" s="15"/>
      <c r="W614" s="15"/>
    </row>
    <row r="615">
      <c r="J615" s="15"/>
      <c r="V615" s="15"/>
      <c r="W615" s="15"/>
    </row>
    <row r="616">
      <c r="J616" s="15"/>
      <c r="V616" s="15"/>
      <c r="W616" s="15"/>
    </row>
    <row r="617">
      <c r="J617" s="15"/>
      <c r="V617" s="15"/>
      <c r="W617" s="15"/>
    </row>
    <row r="618">
      <c r="J618" s="15"/>
      <c r="V618" s="15"/>
      <c r="W618" s="15"/>
    </row>
    <row r="619">
      <c r="J619" s="15"/>
      <c r="V619" s="15"/>
      <c r="W619" s="15"/>
    </row>
    <row r="620">
      <c r="J620" s="15"/>
      <c r="V620" s="15"/>
      <c r="W620" s="15"/>
    </row>
    <row r="621">
      <c r="J621" s="15"/>
      <c r="V621" s="15"/>
      <c r="W621" s="15"/>
    </row>
    <row r="622">
      <c r="J622" s="15"/>
      <c r="V622" s="15"/>
      <c r="W622" s="15"/>
    </row>
    <row r="623">
      <c r="J623" s="15"/>
      <c r="V623" s="15"/>
      <c r="W623" s="15"/>
    </row>
    <row r="624">
      <c r="J624" s="15"/>
      <c r="V624" s="15"/>
      <c r="W624" s="15"/>
    </row>
    <row r="625">
      <c r="J625" s="15"/>
      <c r="V625" s="15"/>
      <c r="W625" s="15"/>
    </row>
    <row r="626">
      <c r="J626" s="15"/>
      <c r="V626" s="15"/>
      <c r="W626" s="15"/>
    </row>
    <row r="627">
      <c r="J627" s="15"/>
      <c r="V627" s="15"/>
      <c r="W627" s="15"/>
    </row>
    <row r="628">
      <c r="J628" s="15"/>
      <c r="V628" s="15"/>
      <c r="W628" s="15"/>
    </row>
    <row r="629">
      <c r="J629" s="15"/>
      <c r="V629" s="15"/>
      <c r="W629" s="15"/>
    </row>
    <row r="630">
      <c r="J630" s="15"/>
      <c r="V630" s="15"/>
      <c r="W630" s="15"/>
    </row>
    <row r="631">
      <c r="J631" s="15"/>
      <c r="V631" s="15"/>
      <c r="W631" s="15"/>
    </row>
    <row r="632">
      <c r="J632" s="15"/>
      <c r="V632" s="15"/>
      <c r="W632" s="15"/>
    </row>
    <row r="633">
      <c r="J633" s="15"/>
      <c r="V633" s="15"/>
      <c r="W633" s="15"/>
    </row>
    <row r="634">
      <c r="J634" s="15"/>
      <c r="V634" s="15"/>
      <c r="W634" s="15"/>
    </row>
    <row r="635">
      <c r="J635" s="15"/>
      <c r="V635" s="15"/>
      <c r="W635" s="15"/>
    </row>
    <row r="636">
      <c r="J636" s="15"/>
      <c r="V636" s="15"/>
      <c r="W636" s="15"/>
    </row>
    <row r="637">
      <c r="J637" s="15"/>
      <c r="V637" s="15"/>
      <c r="W637" s="15"/>
    </row>
    <row r="638">
      <c r="J638" s="15"/>
      <c r="V638" s="15"/>
      <c r="W638" s="15"/>
    </row>
    <row r="639">
      <c r="J639" s="15"/>
      <c r="V639" s="15"/>
      <c r="W639" s="15"/>
    </row>
    <row r="640">
      <c r="J640" s="15"/>
      <c r="V640" s="15"/>
      <c r="W640" s="15"/>
    </row>
    <row r="641">
      <c r="J641" s="15"/>
      <c r="V641" s="15"/>
      <c r="W641" s="15"/>
    </row>
    <row r="642">
      <c r="J642" s="15"/>
      <c r="V642" s="15"/>
      <c r="W642" s="15"/>
    </row>
    <row r="643">
      <c r="J643" s="15"/>
      <c r="V643" s="15"/>
      <c r="W643" s="15"/>
    </row>
    <row r="644">
      <c r="J644" s="15"/>
      <c r="V644" s="15"/>
      <c r="W644" s="15"/>
    </row>
    <row r="645">
      <c r="J645" s="15"/>
      <c r="V645" s="15"/>
      <c r="W645" s="15"/>
    </row>
    <row r="646">
      <c r="J646" s="15"/>
      <c r="V646" s="15"/>
      <c r="W646" s="15"/>
    </row>
    <row r="647">
      <c r="J647" s="15"/>
      <c r="V647" s="15"/>
      <c r="W647" s="15"/>
    </row>
    <row r="648">
      <c r="J648" s="15"/>
      <c r="V648" s="15"/>
      <c r="W648" s="15"/>
    </row>
    <row r="649">
      <c r="J649" s="15"/>
      <c r="V649" s="15"/>
      <c r="W649" s="15"/>
    </row>
    <row r="650">
      <c r="J650" s="15"/>
      <c r="V650" s="15"/>
      <c r="W650" s="15"/>
    </row>
    <row r="651">
      <c r="J651" s="15"/>
      <c r="V651" s="15"/>
      <c r="W651" s="15"/>
    </row>
    <row r="652">
      <c r="J652" s="15"/>
      <c r="V652" s="15"/>
      <c r="W652" s="15"/>
    </row>
    <row r="653">
      <c r="J653" s="15"/>
      <c r="V653" s="15"/>
      <c r="W653" s="15"/>
    </row>
    <row r="654">
      <c r="J654" s="15"/>
      <c r="V654" s="15"/>
      <c r="W654" s="15"/>
    </row>
    <row r="655">
      <c r="J655" s="15"/>
      <c r="V655" s="15"/>
      <c r="W655" s="15"/>
    </row>
    <row r="656">
      <c r="J656" s="15"/>
      <c r="V656" s="15"/>
      <c r="W656" s="15"/>
    </row>
    <row r="657">
      <c r="J657" s="15"/>
      <c r="V657" s="15"/>
      <c r="W657" s="15"/>
    </row>
    <row r="658">
      <c r="J658" s="15"/>
      <c r="V658" s="15"/>
      <c r="W658" s="15"/>
    </row>
    <row r="659">
      <c r="J659" s="15"/>
      <c r="V659" s="15"/>
      <c r="W659" s="15"/>
    </row>
    <row r="660">
      <c r="J660" s="15"/>
      <c r="V660" s="15"/>
      <c r="W660" s="15"/>
    </row>
    <row r="661">
      <c r="J661" s="15"/>
      <c r="V661" s="15"/>
      <c r="W661" s="15"/>
    </row>
    <row r="662">
      <c r="J662" s="15"/>
      <c r="V662" s="15"/>
      <c r="W662" s="15"/>
    </row>
    <row r="663">
      <c r="J663" s="15"/>
      <c r="V663" s="15"/>
      <c r="W663" s="15"/>
    </row>
    <row r="664">
      <c r="J664" s="15"/>
      <c r="V664" s="15"/>
      <c r="W664" s="15"/>
    </row>
    <row r="665">
      <c r="J665" s="15"/>
      <c r="V665" s="15"/>
      <c r="W665" s="15"/>
    </row>
    <row r="666">
      <c r="J666" s="15"/>
      <c r="V666" s="15"/>
      <c r="W666" s="15"/>
    </row>
    <row r="667">
      <c r="J667" s="15"/>
      <c r="V667" s="15"/>
      <c r="W667" s="15"/>
    </row>
    <row r="668">
      <c r="J668" s="15"/>
      <c r="V668" s="15"/>
      <c r="W668" s="15"/>
    </row>
    <row r="669">
      <c r="J669" s="15"/>
      <c r="V669" s="15"/>
      <c r="W669" s="15"/>
    </row>
    <row r="670">
      <c r="J670" s="15"/>
      <c r="V670" s="15"/>
      <c r="W670" s="15"/>
    </row>
    <row r="671">
      <c r="J671" s="15"/>
      <c r="V671" s="15"/>
      <c r="W671" s="15"/>
    </row>
    <row r="672">
      <c r="J672" s="15"/>
      <c r="V672" s="15"/>
      <c r="W672" s="15"/>
    </row>
    <row r="673">
      <c r="J673" s="15"/>
      <c r="V673" s="15"/>
      <c r="W673" s="15"/>
    </row>
    <row r="674">
      <c r="J674" s="15"/>
      <c r="V674" s="15"/>
      <c r="W674" s="15"/>
    </row>
    <row r="675">
      <c r="J675" s="15"/>
      <c r="V675" s="15"/>
      <c r="W675" s="15"/>
    </row>
    <row r="676">
      <c r="J676" s="15"/>
      <c r="V676" s="15"/>
      <c r="W676" s="15"/>
    </row>
    <row r="677">
      <c r="J677" s="15"/>
      <c r="V677" s="15"/>
      <c r="W677" s="15"/>
    </row>
    <row r="678">
      <c r="J678" s="15"/>
      <c r="V678" s="15"/>
      <c r="W678" s="15"/>
    </row>
    <row r="679">
      <c r="J679" s="15"/>
      <c r="V679" s="15"/>
      <c r="W679" s="15"/>
    </row>
    <row r="680">
      <c r="J680" s="15"/>
      <c r="V680" s="15"/>
      <c r="W680" s="15"/>
    </row>
    <row r="681">
      <c r="J681" s="15"/>
      <c r="V681" s="15"/>
      <c r="W681" s="15"/>
    </row>
    <row r="682">
      <c r="J682" s="15"/>
      <c r="V682" s="15"/>
      <c r="W682" s="15"/>
    </row>
    <row r="683">
      <c r="J683" s="15"/>
      <c r="V683" s="15"/>
      <c r="W683" s="15"/>
    </row>
    <row r="684">
      <c r="J684" s="15"/>
      <c r="V684" s="15"/>
      <c r="W684" s="15"/>
    </row>
    <row r="685">
      <c r="J685" s="15"/>
      <c r="V685" s="15"/>
      <c r="W685" s="15"/>
    </row>
    <row r="686">
      <c r="J686" s="15"/>
      <c r="V686" s="15"/>
      <c r="W686" s="15"/>
    </row>
    <row r="687">
      <c r="J687" s="15"/>
      <c r="V687" s="15"/>
      <c r="W687" s="15"/>
    </row>
    <row r="688">
      <c r="J688" s="15"/>
      <c r="V688" s="15"/>
      <c r="W688" s="15"/>
    </row>
    <row r="689">
      <c r="J689" s="15"/>
      <c r="V689" s="15"/>
      <c r="W689" s="15"/>
    </row>
    <row r="690">
      <c r="J690" s="15"/>
      <c r="V690" s="15"/>
      <c r="W690" s="15"/>
    </row>
    <row r="691">
      <c r="J691" s="15"/>
      <c r="V691" s="15"/>
      <c r="W691" s="15"/>
    </row>
    <row r="692">
      <c r="J692" s="15"/>
      <c r="V692" s="15"/>
      <c r="W692" s="15"/>
    </row>
    <row r="693">
      <c r="J693" s="15"/>
      <c r="V693" s="15"/>
      <c r="W693" s="15"/>
    </row>
    <row r="694">
      <c r="J694" s="15"/>
      <c r="V694" s="15"/>
      <c r="W694" s="15"/>
    </row>
    <row r="695">
      <c r="J695" s="15"/>
      <c r="V695" s="15"/>
      <c r="W695" s="15"/>
    </row>
    <row r="696">
      <c r="J696" s="15"/>
      <c r="V696" s="15"/>
      <c r="W696" s="15"/>
    </row>
    <row r="697">
      <c r="J697" s="15"/>
      <c r="V697" s="15"/>
      <c r="W697" s="15"/>
    </row>
    <row r="698">
      <c r="J698" s="15"/>
      <c r="V698" s="15"/>
      <c r="W698" s="15"/>
    </row>
    <row r="699">
      <c r="J699" s="15"/>
      <c r="V699" s="15"/>
      <c r="W699" s="15"/>
    </row>
    <row r="700">
      <c r="J700" s="15"/>
      <c r="V700" s="15"/>
      <c r="W700" s="15"/>
    </row>
    <row r="701">
      <c r="J701" s="15"/>
      <c r="V701" s="15"/>
      <c r="W701" s="15"/>
    </row>
    <row r="702">
      <c r="J702" s="15"/>
      <c r="V702" s="15"/>
      <c r="W702" s="15"/>
    </row>
    <row r="703">
      <c r="J703" s="15"/>
      <c r="V703" s="15"/>
      <c r="W703" s="15"/>
    </row>
    <row r="704">
      <c r="J704" s="15"/>
      <c r="V704" s="15"/>
      <c r="W704" s="15"/>
    </row>
    <row r="705">
      <c r="J705" s="15"/>
      <c r="V705" s="15"/>
      <c r="W705" s="15"/>
    </row>
    <row r="706">
      <c r="J706" s="15"/>
      <c r="V706" s="15"/>
      <c r="W706" s="15"/>
    </row>
    <row r="707">
      <c r="J707" s="15"/>
      <c r="V707" s="15"/>
      <c r="W707" s="15"/>
    </row>
    <row r="708">
      <c r="J708" s="15"/>
      <c r="V708" s="15"/>
      <c r="W708" s="15"/>
    </row>
    <row r="709">
      <c r="J709" s="15"/>
      <c r="V709" s="15"/>
      <c r="W709" s="15"/>
    </row>
    <row r="710">
      <c r="J710" s="15"/>
      <c r="V710" s="15"/>
      <c r="W710" s="15"/>
    </row>
    <row r="711">
      <c r="J711" s="15"/>
      <c r="V711" s="15"/>
      <c r="W711" s="15"/>
    </row>
    <row r="712">
      <c r="J712" s="15"/>
      <c r="V712" s="15"/>
      <c r="W712" s="15"/>
    </row>
    <row r="713">
      <c r="J713" s="15"/>
      <c r="V713" s="15"/>
      <c r="W713" s="15"/>
    </row>
    <row r="714">
      <c r="J714" s="15"/>
      <c r="V714" s="15"/>
      <c r="W714" s="15"/>
    </row>
    <row r="715">
      <c r="J715" s="15"/>
      <c r="V715" s="15"/>
      <c r="W715" s="15"/>
    </row>
    <row r="716">
      <c r="J716" s="15"/>
      <c r="V716" s="15"/>
      <c r="W716" s="15"/>
    </row>
    <row r="717">
      <c r="J717" s="15"/>
      <c r="V717" s="15"/>
      <c r="W717" s="15"/>
    </row>
    <row r="718">
      <c r="J718" s="15"/>
      <c r="V718" s="15"/>
      <c r="W718" s="15"/>
    </row>
    <row r="719">
      <c r="J719" s="15"/>
      <c r="V719" s="15"/>
      <c r="W719" s="15"/>
    </row>
    <row r="720">
      <c r="J720" s="15"/>
      <c r="V720" s="15"/>
      <c r="W720" s="15"/>
    </row>
    <row r="721">
      <c r="J721" s="15"/>
      <c r="V721" s="15"/>
      <c r="W721" s="15"/>
    </row>
    <row r="722">
      <c r="J722" s="15"/>
      <c r="V722" s="15"/>
      <c r="W722" s="15"/>
    </row>
    <row r="723">
      <c r="J723" s="15"/>
      <c r="V723" s="15"/>
      <c r="W723" s="15"/>
    </row>
    <row r="724">
      <c r="J724" s="15"/>
      <c r="V724" s="15"/>
      <c r="W724" s="15"/>
    </row>
    <row r="725">
      <c r="J725" s="15"/>
      <c r="V725" s="15"/>
      <c r="W725" s="15"/>
    </row>
    <row r="726">
      <c r="J726" s="15"/>
      <c r="V726" s="15"/>
      <c r="W726" s="15"/>
    </row>
    <row r="727">
      <c r="J727" s="15"/>
      <c r="V727" s="15"/>
      <c r="W727" s="15"/>
    </row>
    <row r="728">
      <c r="J728" s="15"/>
      <c r="V728" s="15"/>
      <c r="W728" s="15"/>
    </row>
    <row r="729">
      <c r="J729" s="15"/>
      <c r="V729" s="15"/>
      <c r="W729" s="15"/>
    </row>
    <row r="730">
      <c r="J730" s="15"/>
      <c r="V730" s="15"/>
      <c r="W730" s="15"/>
    </row>
    <row r="731">
      <c r="J731" s="15"/>
      <c r="V731" s="15"/>
      <c r="W731" s="15"/>
    </row>
    <row r="732">
      <c r="J732" s="15"/>
      <c r="V732" s="15"/>
      <c r="W732" s="15"/>
    </row>
    <row r="733">
      <c r="J733" s="15"/>
      <c r="V733" s="15"/>
      <c r="W733" s="15"/>
    </row>
    <row r="734">
      <c r="J734" s="15"/>
      <c r="V734" s="15"/>
      <c r="W734" s="15"/>
    </row>
    <row r="735">
      <c r="J735" s="15"/>
      <c r="V735" s="15"/>
      <c r="W735" s="15"/>
    </row>
    <row r="736">
      <c r="J736" s="15"/>
      <c r="V736" s="15"/>
      <c r="W736" s="15"/>
    </row>
    <row r="737">
      <c r="J737" s="15"/>
      <c r="V737" s="15"/>
      <c r="W737" s="15"/>
    </row>
    <row r="738">
      <c r="J738" s="15"/>
      <c r="V738" s="15"/>
      <c r="W738" s="15"/>
    </row>
    <row r="739">
      <c r="J739" s="15"/>
      <c r="V739" s="15"/>
      <c r="W739" s="15"/>
    </row>
    <row r="740">
      <c r="J740" s="15"/>
      <c r="V740" s="15"/>
      <c r="W740" s="15"/>
    </row>
    <row r="741">
      <c r="J741" s="15"/>
      <c r="V741" s="15"/>
      <c r="W741" s="15"/>
    </row>
    <row r="742">
      <c r="J742" s="15"/>
      <c r="V742" s="15"/>
      <c r="W742" s="15"/>
    </row>
    <row r="743">
      <c r="J743" s="15"/>
      <c r="V743" s="15"/>
      <c r="W743" s="15"/>
    </row>
    <row r="744">
      <c r="J744" s="15"/>
      <c r="V744" s="15"/>
      <c r="W744" s="15"/>
    </row>
    <row r="745">
      <c r="J745" s="15"/>
      <c r="V745" s="15"/>
      <c r="W745" s="15"/>
    </row>
    <row r="746">
      <c r="J746" s="15"/>
      <c r="V746" s="15"/>
      <c r="W746" s="15"/>
    </row>
    <row r="747">
      <c r="J747" s="15"/>
      <c r="V747" s="15"/>
      <c r="W747" s="15"/>
    </row>
    <row r="748">
      <c r="J748" s="15"/>
      <c r="V748" s="15"/>
      <c r="W748" s="15"/>
    </row>
    <row r="749">
      <c r="J749" s="15"/>
      <c r="V749" s="15"/>
      <c r="W749" s="15"/>
    </row>
    <row r="750">
      <c r="J750" s="15"/>
      <c r="V750" s="15"/>
      <c r="W750" s="15"/>
    </row>
    <row r="751">
      <c r="J751" s="15"/>
      <c r="V751" s="15"/>
      <c r="W751" s="15"/>
    </row>
    <row r="752">
      <c r="J752" s="15"/>
      <c r="V752" s="15"/>
      <c r="W752" s="15"/>
    </row>
    <row r="753">
      <c r="J753" s="15"/>
      <c r="V753" s="15"/>
      <c r="W753" s="15"/>
    </row>
    <row r="754">
      <c r="J754" s="15"/>
      <c r="V754" s="15"/>
      <c r="W754" s="15"/>
    </row>
    <row r="755">
      <c r="J755" s="15"/>
      <c r="V755" s="15"/>
      <c r="W755" s="15"/>
    </row>
    <row r="756">
      <c r="J756" s="15"/>
      <c r="V756" s="15"/>
      <c r="W756" s="15"/>
    </row>
    <row r="757">
      <c r="J757" s="15"/>
      <c r="V757" s="15"/>
      <c r="W757" s="15"/>
    </row>
    <row r="758">
      <c r="J758" s="15"/>
      <c r="V758" s="15"/>
      <c r="W758" s="15"/>
    </row>
    <row r="759">
      <c r="J759" s="15"/>
      <c r="V759" s="15"/>
      <c r="W759" s="15"/>
    </row>
    <row r="760">
      <c r="J760" s="15"/>
      <c r="V760" s="15"/>
      <c r="W760" s="15"/>
    </row>
    <row r="761">
      <c r="J761" s="15"/>
      <c r="V761" s="15"/>
      <c r="W761" s="15"/>
    </row>
    <row r="762">
      <c r="J762" s="15"/>
      <c r="V762" s="15"/>
      <c r="W762" s="15"/>
    </row>
    <row r="763">
      <c r="J763" s="15"/>
      <c r="V763" s="15"/>
      <c r="W763" s="15"/>
    </row>
    <row r="764">
      <c r="J764" s="15"/>
      <c r="V764" s="15"/>
      <c r="W764" s="15"/>
    </row>
    <row r="765">
      <c r="J765" s="15"/>
      <c r="V765" s="15"/>
      <c r="W765" s="15"/>
    </row>
    <row r="766">
      <c r="J766" s="15"/>
      <c r="V766" s="15"/>
      <c r="W766" s="15"/>
    </row>
    <row r="767">
      <c r="J767" s="15"/>
      <c r="V767" s="15"/>
      <c r="W767" s="15"/>
    </row>
    <row r="768">
      <c r="J768" s="15"/>
      <c r="V768" s="15"/>
      <c r="W768" s="15"/>
    </row>
    <row r="769">
      <c r="J769" s="15"/>
      <c r="V769" s="15"/>
      <c r="W769" s="15"/>
    </row>
    <row r="770">
      <c r="J770" s="15"/>
      <c r="V770" s="15"/>
      <c r="W770" s="15"/>
    </row>
    <row r="771">
      <c r="J771" s="15"/>
      <c r="V771" s="15"/>
      <c r="W771" s="15"/>
    </row>
    <row r="772">
      <c r="J772" s="15"/>
      <c r="V772" s="15"/>
      <c r="W772" s="15"/>
    </row>
    <row r="773">
      <c r="J773" s="15"/>
      <c r="V773" s="15"/>
      <c r="W773" s="15"/>
    </row>
    <row r="774">
      <c r="J774" s="15"/>
      <c r="V774" s="15"/>
      <c r="W774" s="15"/>
    </row>
    <row r="775">
      <c r="J775" s="15"/>
      <c r="V775" s="15"/>
      <c r="W775" s="15"/>
    </row>
    <row r="776">
      <c r="J776" s="15"/>
      <c r="V776" s="15"/>
      <c r="W776" s="15"/>
    </row>
    <row r="777">
      <c r="J777" s="15"/>
      <c r="V777" s="15"/>
      <c r="W777" s="15"/>
    </row>
    <row r="778">
      <c r="J778" s="15"/>
      <c r="V778" s="15"/>
      <c r="W778" s="15"/>
    </row>
    <row r="779">
      <c r="J779" s="15"/>
      <c r="V779" s="15"/>
      <c r="W779" s="15"/>
    </row>
    <row r="780">
      <c r="J780" s="15"/>
      <c r="V780" s="15"/>
      <c r="W780" s="15"/>
    </row>
    <row r="781">
      <c r="J781" s="15"/>
      <c r="V781" s="15"/>
      <c r="W781" s="15"/>
    </row>
    <row r="782">
      <c r="J782" s="15"/>
      <c r="V782" s="15"/>
      <c r="W782" s="15"/>
    </row>
    <row r="783">
      <c r="J783" s="15"/>
      <c r="V783" s="15"/>
      <c r="W783" s="15"/>
    </row>
    <row r="784">
      <c r="J784" s="15"/>
      <c r="V784" s="15"/>
      <c r="W784" s="15"/>
    </row>
    <row r="785">
      <c r="J785" s="15"/>
      <c r="V785" s="15"/>
      <c r="W785" s="15"/>
    </row>
    <row r="786">
      <c r="J786" s="15"/>
      <c r="V786" s="15"/>
      <c r="W786" s="15"/>
    </row>
    <row r="787">
      <c r="J787" s="15"/>
      <c r="V787" s="15"/>
      <c r="W787" s="15"/>
    </row>
    <row r="788">
      <c r="J788" s="15"/>
      <c r="V788" s="15"/>
      <c r="W788" s="15"/>
    </row>
    <row r="789">
      <c r="J789" s="15"/>
      <c r="V789" s="15"/>
      <c r="W789" s="15"/>
    </row>
    <row r="790">
      <c r="J790" s="15"/>
      <c r="V790" s="15"/>
      <c r="W790" s="15"/>
    </row>
    <row r="791">
      <c r="J791" s="15"/>
      <c r="V791" s="15"/>
      <c r="W791" s="15"/>
    </row>
    <row r="792">
      <c r="J792" s="15"/>
      <c r="V792" s="15"/>
      <c r="W792" s="15"/>
    </row>
    <row r="793">
      <c r="J793" s="15"/>
      <c r="V793" s="15"/>
      <c r="W793" s="15"/>
    </row>
    <row r="794">
      <c r="J794" s="15"/>
      <c r="V794" s="15"/>
      <c r="W794" s="15"/>
    </row>
    <row r="795">
      <c r="J795" s="15"/>
      <c r="V795" s="15"/>
      <c r="W795" s="15"/>
    </row>
    <row r="796">
      <c r="J796" s="15"/>
      <c r="V796" s="15"/>
      <c r="W796" s="15"/>
    </row>
    <row r="797">
      <c r="J797" s="15"/>
      <c r="V797" s="15"/>
      <c r="W797" s="15"/>
    </row>
    <row r="798">
      <c r="J798" s="15"/>
      <c r="V798" s="15"/>
      <c r="W798" s="15"/>
    </row>
    <row r="799">
      <c r="J799" s="15"/>
      <c r="V799" s="15"/>
      <c r="W799" s="15"/>
    </row>
    <row r="800">
      <c r="J800" s="15"/>
      <c r="V800" s="15"/>
      <c r="W800" s="15"/>
    </row>
    <row r="801">
      <c r="J801" s="15"/>
      <c r="V801" s="15"/>
      <c r="W801" s="15"/>
    </row>
    <row r="802">
      <c r="J802" s="15"/>
      <c r="V802" s="15"/>
      <c r="W802" s="15"/>
    </row>
    <row r="803">
      <c r="J803" s="15"/>
      <c r="V803" s="15"/>
      <c r="W803" s="15"/>
    </row>
    <row r="804">
      <c r="J804" s="15"/>
      <c r="V804" s="15"/>
      <c r="W804" s="15"/>
    </row>
    <row r="805">
      <c r="J805" s="15"/>
      <c r="V805" s="15"/>
      <c r="W805" s="15"/>
    </row>
    <row r="806">
      <c r="J806" s="15"/>
      <c r="V806" s="15"/>
      <c r="W806" s="15"/>
    </row>
    <row r="807">
      <c r="J807" s="15"/>
      <c r="V807" s="15"/>
      <c r="W807" s="15"/>
    </row>
    <row r="808">
      <c r="J808" s="15"/>
      <c r="V808" s="15"/>
      <c r="W808" s="15"/>
    </row>
    <row r="809">
      <c r="J809" s="15"/>
      <c r="V809" s="15"/>
      <c r="W809" s="15"/>
    </row>
    <row r="810">
      <c r="J810" s="15"/>
      <c r="V810" s="15"/>
      <c r="W810" s="15"/>
    </row>
    <row r="811">
      <c r="J811" s="15"/>
      <c r="V811" s="15"/>
      <c r="W811" s="15"/>
    </row>
    <row r="812">
      <c r="J812" s="15"/>
      <c r="V812" s="15"/>
      <c r="W812" s="15"/>
    </row>
    <row r="813">
      <c r="J813" s="15"/>
      <c r="V813" s="15"/>
      <c r="W813" s="15"/>
    </row>
    <row r="814">
      <c r="J814" s="15"/>
      <c r="V814" s="15"/>
      <c r="W814" s="15"/>
    </row>
    <row r="815">
      <c r="J815" s="15"/>
      <c r="V815" s="15"/>
      <c r="W815" s="15"/>
    </row>
    <row r="816">
      <c r="J816" s="15"/>
      <c r="V816" s="15"/>
      <c r="W816" s="15"/>
    </row>
    <row r="817">
      <c r="J817" s="15"/>
      <c r="V817" s="15"/>
      <c r="W817" s="15"/>
    </row>
    <row r="818">
      <c r="J818" s="15"/>
      <c r="V818" s="15"/>
      <c r="W818" s="15"/>
    </row>
    <row r="819">
      <c r="J819" s="15"/>
      <c r="V819" s="15"/>
      <c r="W819" s="15"/>
    </row>
    <row r="820">
      <c r="J820" s="15"/>
      <c r="V820" s="15"/>
      <c r="W820" s="15"/>
    </row>
    <row r="821">
      <c r="J821" s="15"/>
      <c r="V821" s="15"/>
      <c r="W821" s="15"/>
    </row>
    <row r="822">
      <c r="J822" s="15"/>
      <c r="V822" s="15"/>
      <c r="W822" s="15"/>
    </row>
    <row r="823">
      <c r="J823" s="15"/>
      <c r="V823" s="15"/>
      <c r="W823" s="15"/>
    </row>
    <row r="824">
      <c r="J824" s="15"/>
      <c r="V824" s="15"/>
      <c r="W824" s="15"/>
    </row>
    <row r="825">
      <c r="J825" s="15"/>
      <c r="V825" s="15"/>
      <c r="W825" s="15"/>
    </row>
    <row r="826">
      <c r="J826" s="15"/>
      <c r="V826" s="15"/>
      <c r="W826" s="15"/>
    </row>
    <row r="827">
      <c r="J827" s="15"/>
      <c r="V827" s="15"/>
      <c r="W827" s="15"/>
    </row>
    <row r="828">
      <c r="J828" s="15"/>
      <c r="V828" s="15"/>
      <c r="W828" s="15"/>
    </row>
    <row r="829">
      <c r="J829" s="15"/>
      <c r="V829" s="15"/>
      <c r="W829" s="15"/>
    </row>
    <row r="830">
      <c r="J830" s="15"/>
      <c r="V830" s="15"/>
      <c r="W830" s="15"/>
    </row>
    <row r="831">
      <c r="J831" s="15"/>
      <c r="V831" s="15"/>
      <c r="W831" s="15"/>
    </row>
    <row r="832">
      <c r="J832" s="15"/>
      <c r="V832" s="15"/>
      <c r="W832" s="15"/>
    </row>
    <row r="833">
      <c r="J833" s="15"/>
      <c r="V833" s="15"/>
      <c r="W833" s="15"/>
    </row>
    <row r="834">
      <c r="J834" s="15"/>
      <c r="V834" s="15"/>
      <c r="W834" s="15"/>
    </row>
    <row r="835">
      <c r="J835" s="15"/>
      <c r="V835" s="15"/>
      <c r="W835" s="15"/>
    </row>
    <row r="836">
      <c r="J836" s="15"/>
      <c r="V836" s="15"/>
      <c r="W836" s="15"/>
    </row>
    <row r="837">
      <c r="J837" s="15"/>
      <c r="V837" s="15"/>
      <c r="W837" s="15"/>
    </row>
    <row r="838">
      <c r="J838" s="15"/>
      <c r="V838" s="15"/>
      <c r="W838" s="15"/>
    </row>
    <row r="839">
      <c r="J839" s="15"/>
      <c r="V839" s="15"/>
      <c r="W839" s="15"/>
    </row>
    <row r="840">
      <c r="J840" s="15"/>
      <c r="V840" s="15"/>
      <c r="W840" s="15"/>
    </row>
    <row r="841">
      <c r="J841" s="15"/>
      <c r="V841" s="15"/>
      <c r="W841" s="15"/>
    </row>
    <row r="842">
      <c r="J842" s="15"/>
      <c r="V842" s="15"/>
      <c r="W842" s="15"/>
    </row>
    <row r="843">
      <c r="J843" s="15"/>
      <c r="V843" s="15"/>
      <c r="W843" s="15"/>
    </row>
    <row r="844">
      <c r="J844" s="15"/>
      <c r="V844" s="15"/>
      <c r="W844" s="15"/>
    </row>
    <row r="845">
      <c r="J845" s="15"/>
      <c r="V845" s="15"/>
      <c r="W845" s="15"/>
    </row>
    <row r="846">
      <c r="J846" s="15"/>
      <c r="V846" s="15"/>
      <c r="W846" s="15"/>
    </row>
    <row r="847">
      <c r="J847" s="15"/>
      <c r="V847" s="15"/>
      <c r="W847" s="15"/>
    </row>
    <row r="848">
      <c r="J848" s="15"/>
      <c r="V848" s="15"/>
      <c r="W848" s="15"/>
    </row>
    <row r="849">
      <c r="J849" s="15"/>
      <c r="V849" s="15"/>
      <c r="W849" s="15"/>
    </row>
    <row r="850">
      <c r="J850" s="15"/>
      <c r="V850" s="15"/>
      <c r="W850" s="15"/>
    </row>
    <row r="851">
      <c r="J851" s="15"/>
      <c r="V851" s="15"/>
      <c r="W851" s="15"/>
    </row>
    <row r="852">
      <c r="J852" s="15"/>
      <c r="V852" s="15"/>
      <c r="W852" s="15"/>
    </row>
    <row r="853">
      <c r="J853" s="15"/>
      <c r="V853" s="15"/>
      <c r="W853" s="15"/>
    </row>
    <row r="854">
      <c r="J854" s="15"/>
      <c r="V854" s="15"/>
      <c r="W854" s="15"/>
    </row>
    <row r="855">
      <c r="J855" s="15"/>
      <c r="V855" s="15"/>
      <c r="W855" s="15"/>
    </row>
    <row r="856">
      <c r="J856" s="15"/>
      <c r="V856" s="15"/>
      <c r="W856" s="15"/>
    </row>
    <row r="857">
      <c r="J857" s="15"/>
      <c r="V857" s="15"/>
      <c r="W857" s="15"/>
    </row>
    <row r="858">
      <c r="J858" s="15"/>
      <c r="V858" s="15"/>
      <c r="W858" s="15"/>
    </row>
    <row r="859">
      <c r="J859" s="15"/>
      <c r="V859" s="15"/>
      <c r="W859" s="15"/>
    </row>
    <row r="860">
      <c r="J860" s="15"/>
      <c r="V860" s="15"/>
      <c r="W860" s="15"/>
    </row>
    <row r="861">
      <c r="J861" s="15"/>
      <c r="V861" s="15"/>
      <c r="W861" s="15"/>
    </row>
    <row r="862">
      <c r="J862" s="15"/>
      <c r="V862" s="15"/>
      <c r="W862" s="15"/>
    </row>
    <row r="863">
      <c r="J863" s="15"/>
      <c r="V863" s="15"/>
      <c r="W863" s="15"/>
    </row>
    <row r="864">
      <c r="J864" s="15"/>
      <c r="V864" s="15"/>
      <c r="W864" s="15"/>
    </row>
    <row r="865">
      <c r="J865" s="15"/>
      <c r="V865" s="15"/>
      <c r="W865" s="15"/>
    </row>
    <row r="866">
      <c r="J866" s="15"/>
      <c r="V866" s="15"/>
      <c r="W866" s="15"/>
    </row>
    <row r="867">
      <c r="J867" s="15"/>
      <c r="V867" s="15"/>
      <c r="W867" s="15"/>
    </row>
    <row r="868">
      <c r="J868" s="15"/>
      <c r="V868" s="15"/>
      <c r="W868" s="15"/>
    </row>
    <row r="869">
      <c r="J869" s="15"/>
      <c r="V869" s="15"/>
      <c r="W869" s="15"/>
    </row>
    <row r="870">
      <c r="J870" s="15"/>
      <c r="V870" s="15"/>
      <c r="W870" s="15"/>
    </row>
    <row r="871">
      <c r="J871" s="15"/>
      <c r="V871" s="15"/>
      <c r="W871" s="15"/>
    </row>
    <row r="872">
      <c r="J872" s="15"/>
      <c r="V872" s="15"/>
      <c r="W872" s="15"/>
    </row>
    <row r="873">
      <c r="J873" s="15"/>
      <c r="V873" s="15"/>
      <c r="W873" s="15"/>
    </row>
    <row r="874">
      <c r="J874" s="15"/>
      <c r="V874" s="15"/>
      <c r="W874" s="15"/>
    </row>
    <row r="875">
      <c r="J875" s="15"/>
      <c r="V875" s="15"/>
      <c r="W875" s="15"/>
    </row>
    <row r="876">
      <c r="J876" s="15"/>
      <c r="V876" s="15"/>
      <c r="W876" s="15"/>
    </row>
    <row r="877">
      <c r="J877" s="15"/>
      <c r="V877" s="15"/>
      <c r="W877" s="15"/>
    </row>
    <row r="878">
      <c r="J878" s="15"/>
      <c r="V878" s="15"/>
      <c r="W878" s="15"/>
    </row>
    <row r="879">
      <c r="J879" s="15"/>
      <c r="V879" s="15"/>
      <c r="W879" s="15"/>
    </row>
    <row r="880">
      <c r="J880" s="15"/>
      <c r="V880" s="15"/>
      <c r="W880" s="15"/>
    </row>
    <row r="881">
      <c r="J881" s="15"/>
      <c r="V881" s="15"/>
      <c r="W881" s="15"/>
    </row>
    <row r="882">
      <c r="J882" s="15"/>
      <c r="V882" s="15"/>
      <c r="W882" s="15"/>
    </row>
    <row r="883">
      <c r="J883" s="15"/>
      <c r="V883" s="15"/>
      <c r="W883" s="15"/>
    </row>
    <row r="884">
      <c r="J884" s="15"/>
      <c r="V884" s="15"/>
      <c r="W884" s="15"/>
    </row>
    <row r="885">
      <c r="J885" s="15"/>
      <c r="V885" s="15"/>
      <c r="W885" s="15"/>
    </row>
    <row r="886">
      <c r="J886" s="15"/>
      <c r="V886" s="15"/>
      <c r="W886" s="15"/>
    </row>
    <row r="887">
      <c r="J887" s="15"/>
      <c r="V887" s="15"/>
      <c r="W887" s="15"/>
    </row>
    <row r="888">
      <c r="J888" s="15"/>
      <c r="V888" s="15"/>
      <c r="W888" s="15"/>
    </row>
    <row r="889">
      <c r="J889" s="15"/>
      <c r="V889" s="15"/>
      <c r="W889" s="15"/>
    </row>
    <row r="890">
      <c r="J890" s="15"/>
      <c r="V890" s="15"/>
      <c r="W890" s="15"/>
    </row>
    <row r="891">
      <c r="J891" s="15"/>
      <c r="V891" s="15"/>
      <c r="W891" s="15"/>
    </row>
    <row r="892">
      <c r="J892" s="15"/>
      <c r="V892" s="15"/>
      <c r="W892" s="15"/>
    </row>
    <row r="893">
      <c r="J893" s="15"/>
      <c r="V893" s="15"/>
      <c r="W893" s="15"/>
    </row>
    <row r="894">
      <c r="J894" s="15"/>
      <c r="V894" s="15"/>
      <c r="W894" s="15"/>
    </row>
    <row r="895">
      <c r="J895" s="15"/>
      <c r="V895" s="15"/>
      <c r="W895" s="15"/>
    </row>
    <row r="896">
      <c r="J896" s="15"/>
      <c r="V896" s="15"/>
      <c r="W896" s="15"/>
    </row>
    <row r="897">
      <c r="J897" s="15"/>
      <c r="V897" s="15"/>
      <c r="W897" s="15"/>
    </row>
    <row r="898">
      <c r="J898" s="15"/>
      <c r="V898" s="15"/>
      <c r="W898" s="15"/>
    </row>
    <row r="899">
      <c r="J899" s="15"/>
      <c r="V899" s="15"/>
      <c r="W899" s="15"/>
    </row>
    <row r="900">
      <c r="J900" s="15"/>
      <c r="V900" s="15"/>
      <c r="W900" s="15"/>
    </row>
    <row r="901">
      <c r="J901" s="15"/>
      <c r="V901" s="15"/>
      <c r="W901" s="15"/>
    </row>
    <row r="902">
      <c r="J902" s="15"/>
      <c r="V902" s="15"/>
      <c r="W902" s="15"/>
    </row>
    <row r="903">
      <c r="J903" s="15"/>
      <c r="V903" s="15"/>
      <c r="W903" s="15"/>
    </row>
    <row r="904">
      <c r="J904" s="15"/>
      <c r="V904" s="15"/>
      <c r="W904" s="15"/>
    </row>
    <row r="905">
      <c r="J905" s="15"/>
      <c r="V905" s="15"/>
      <c r="W905" s="15"/>
    </row>
    <row r="906">
      <c r="J906" s="15"/>
      <c r="V906" s="15"/>
      <c r="W906" s="15"/>
    </row>
    <row r="907">
      <c r="J907" s="15"/>
      <c r="V907" s="15"/>
      <c r="W907" s="15"/>
    </row>
    <row r="908">
      <c r="J908" s="15"/>
      <c r="V908" s="15"/>
      <c r="W908" s="15"/>
    </row>
    <row r="909">
      <c r="J909" s="15"/>
      <c r="V909" s="15"/>
      <c r="W909" s="15"/>
    </row>
    <row r="910">
      <c r="J910" s="15"/>
      <c r="V910" s="15"/>
      <c r="W910" s="15"/>
    </row>
    <row r="911">
      <c r="J911" s="15"/>
      <c r="V911" s="15"/>
      <c r="W911" s="15"/>
    </row>
    <row r="912">
      <c r="J912" s="15"/>
      <c r="V912" s="15"/>
      <c r="W912" s="15"/>
    </row>
    <row r="913">
      <c r="J913" s="15"/>
      <c r="V913" s="15"/>
      <c r="W913" s="15"/>
    </row>
    <row r="914">
      <c r="J914" s="15"/>
      <c r="V914" s="15"/>
      <c r="W914" s="15"/>
    </row>
    <row r="915">
      <c r="J915" s="15"/>
      <c r="V915" s="15"/>
      <c r="W915" s="15"/>
    </row>
    <row r="916">
      <c r="J916" s="15"/>
      <c r="V916" s="15"/>
      <c r="W916" s="15"/>
    </row>
    <row r="917">
      <c r="J917" s="15"/>
      <c r="V917" s="15"/>
      <c r="W917" s="15"/>
    </row>
    <row r="918">
      <c r="J918" s="15"/>
      <c r="V918" s="15"/>
      <c r="W918" s="15"/>
    </row>
    <row r="919">
      <c r="J919" s="15"/>
      <c r="V919" s="15"/>
      <c r="W919" s="15"/>
    </row>
    <row r="920">
      <c r="J920" s="15"/>
      <c r="V920" s="15"/>
      <c r="W920" s="15"/>
    </row>
    <row r="921">
      <c r="J921" s="15"/>
      <c r="V921" s="15"/>
      <c r="W921" s="15"/>
    </row>
    <row r="922">
      <c r="J922" s="15"/>
      <c r="V922" s="15"/>
      <c r="W922" s="15"/>
    </row>
    <row r="923">
      <c r="J923" s="15"/>
      <c r="V923" s="15"/>
      <c r="W923" s="15"/>
    </row>
    <row r="924">
      <c r="J924" s="15"/>
      <c r="V924" s="15"/>
      <c r="W924" s="15"/>
    </row>
    <row r="925">
      <c r="J925" s="15"/>
      <c r="V925" s="15"/>
      <c r="W925" s="15"/>
    </row>
    <row r="926">
      <c r="J926" s="15"/>
      <c r="V926" s="15"/>
      <c r="W926" s="15"/>
    </row>
    <row r="927">
      <c r="J927" s="15"/>
      <c r="V927" s="15"/>
      <c r="W927" s="15"/>
    </row>
    <row r="928">
      <c r="J928" s="15"/>
      <c r="V928" s="15"/>
      <c r="W928" s="15"/>
    </row>
    <row r="929">
      <c r="J929" s="15"/>
      <c r="V929" s="15"/>
      <c r="W929" s="15"/>
    </row>
    <row r="930">
      <c r="J930" s="15"/>
      <c r="V930" s="15"/>
      <c r="W930" s="15"/>
    </row>
    <row r="931">
      <c r="J931" s="15"/>
      <c r="V931" s="15"/>
      <c r="W931" s="15"/>
    </row>
    <row r="932">
      <c r="J932" s="15"/>
      <c r="V932" s="15"/>
      <c r="W932" s="15"/>
    </row>
    <row r="933">
      <c r="J933" s="15"/>
      <c r="V933" s="15"/>
      <c r="W933" s="15"/>
    </row>
    <row r="934">
      <c r="J934" s="15"/>
      <c r="V934" s="15"/>
      <c r="W934" s="15"/>
    </row>
    <row r="935">
      <c r="J935" s="15"/>
      <c r="V935" s="15"/>
      <c r="W935" s="15"/>
    </row>
    <row r="936">
      <c r="J936" s="15"/>
      <c r="V936" s="15"/>
      <c r="W936" s="15"/>
    </row>
    <row r="937">
      <c r="J937" s="15"/>
      <c r="V937" s="15"/>
      <c r="W937" s="15"/>
    </row>
    <row r="938">
      <c r="J938" s="15"/>
      <c r="V938" s="15"/>
      <c r="W938" s="15"/>
    </row>
    <row r="939">
      <c r="J939" s="15"/>
      <c r="V939" s="15"/>
      <c r="W939" s="15"/>
    </row>
    <row r="940">
      <c r="J940" s="15"/>
      <c r="V940" s="15"/>
      <c r="W940" s="15"/>
    </row>
    <row r="941">
      <c r="J941" s="15"/>
      <c r="V941" s="15"/>
      <c r="W941" s="15"/>
    </row>
    <row r="942">
      <c r="J942" s="15"/>
      <c r="V942" s="15"/>
      <c r="W942" s="15"/>
    </row>
    <row r="943">
      <c r="J943" s="15"/>
      <c r="V943" s="15"/>
      <c r="W943" s="15"/>
    </row>
    <row r="944">
      <c r="J944" s="15"/>
      <c r="V944" s="15"/>
      <c r="W944" s="15"/>
    </row>
    <row r="945">
      <c r="J945" s="15"/>
      <c r="V945" s="15"/>
      <c r="W945" s="15"/>
    </row>
    <row r="946">
      <c r="J946" s="15"/>
      <c r="V946" s="15"/>
      <c r="W946" s="15"/>
    </row>
    <row r="947">
      <c r="J947" s="15"/>
      <c r="V947" s="15"/>
      <c r="W947" s="15"/>
    </row>
    <row r="948">
      <c r="J948" s="15"/>
      <c r="V948" s="15"/>
      <c r="W948" s="15"/>
    </row>
    <row r="949">
      <c r="J949" s="15"/>
      <c r="V949" s="15"/>
      <c r="W949" s="15"/>
    </row>
    <row r="950">
      <c r="J950" s="15"/>
      <c r="V950" s="15"/>
      <c r="W950" s="15"/>
    </row>
    <row r="951">
      <c r="J951" s="15"/>
      <c r="V951" s="15"/>
      <c r="W951" s="15"/>
    </row>
    <row r="952">
      <c r="J952" s="15"/>
      <c r="V952" s="15"/>
      <c r="W952" s="15"/>
    </row>
    <row r="953">
      <c r="J953" s="15"/>
      <c r="V953" s="15"/>
      <c r="W953" s="15"/>
    </row>
    <row r="954">
      <c r="J954" s="15"/>
      <c r="V954" s="15"/>
      <c r="W954" s="15"/>
    </row>
    <row r="955">
      <c r="J955" s="15"/>
      <c r="V955" s="15"/>
      <c r="W955" s="15"/>
    </row>
    <row r="956">
      <c r="J956" s="15"/>
      <c r="V956" s="15"/>
      <c r="W956" s="15"/>
    </row>
    <row r="957">
      <c r="J957" s="15"/>
      <c r="V957" s="15"/>
      <c r="W957" s="15"/>
    </row>
    <row r="958">
      <c r="J958" s="15"/>
      <c r="V958" s="15"/>
      <c r="W958" s="15"/>
    </row>
    <row r="959">
      <c r="J959" s="15"/>
      <c r="V959" s="15"/>
      <c r="W959" s="15"/>
    </row>
    <row r="960">
      <c r="J960" s="15"/>
      <c r="V960" s="15"/>
      <c r="W960" s="15"/>
    </row>
    <row r="961">
      <c r="J961" s="15"/>
      <c r="V961" s="15"/>
      <c r="W961" s="15"/>
    </row>
    <row r="962">
      <c r="J962" s="15"/>
      <c r="V962" s="15"/>
      <c r="W962" s="15"/>
    </row>
    <row r="963">
      <c r="J963" s="15"/>
      <c r="V963" s="15"/>
      <c r="W963" s="15"/>
    </row>
    <row r="964">
      <c r="J964" s="15"/>
      <c r="V964" s="15"/>
      <c r="W964" s="15"/>
    </row>
    <row r="965">
      <c r="J965" s="15"/>
      <c r="V965" s="15"/>
      <c r="W965" s="15"/>
    </row>
    <row r="966">
      <c r="J966" s="15"/>
      <c r="V966" s="15"/>
      <c r="W966" s="15"/>
    </row>
    <row r="967">
      <c r="J967" s="15"/>
      <c r="V967" s="15"/>
      <c r="W967" s="15"/>
    </row>
    <row r="968">
      <c r="J968" s="15"/>
      <c r="V968" s="15"/>
      <c r="W968" s="15"/>
    </row>
    <row r="969">
      <c r="J969" s="15"/>
      <c r="V969" s="15"/>
      <c r="W969" s="15"/>
    </row>
    <row r="970">
      <c r="J970" s="15"/>
      <c r="V970" s="15"/>
      <c r="W970" s="15"/>
    </row>
    <row r="971">
      <c r="J971" s="15"/>
      <c r="V971" s="15"/>
      <c r="W971" s="15"/>
    </row>
    <row r="972">
      <c r="J972" s="15"/>
      <c r="V972" s="15"/>
      <c r="W972" s="15"/>
    </row>
    <row r="973">
      <c r="J973" s="15"/>
      <c r="V973" s="15"/>
      <c r="W973" s="15"/>
    </row>
    <row r="974">
      <c r="J974" s="15"/>
      <c r="V974" s="15"/>
      <c r="W974" s="15"/>
    </row>
    <row r="975">
      <c r="J975" s="15"/>
      <c r="V975" s="15"/>
      <c r="W975" s="15"/>
    </row>
    <row r="976">
      <c r="J976" s="15"/>
      <c r="V976" s="15"/>
      <c r="W976" s="15"/>
    </row>
    <row r="977">
      <c r="J977" s="15"/>
      <c r="V977" s="15"/>
      <c r="W977" s="15"/>
    </row>
    <row r="978">
      <c r="J978" s="15"/>
      <c r="V978" s="15"/>
      <c r="W978" s="15"/>
    </row>
    <row r="979">
      <c r="J979" s="15"/>
      <c r="V979" s="15"/>
      <c r="W979" s="15"/>
    </row>
    <row r="980">
      <c r="J980" s="15"/>
      <c r="V980" s="15"/>
      <c r="W980" s="15"/>
    </row>
    <row r="981">
      <c r="J981" s="15"/>
      <c r="V981" s="15"/>
      <c r="W981" s="15"/>
    </row>
    <row r="982">
      <c r="J982" s="15"/>
      <c r="V982" s="15"/>
      <c r="W982" s="15"/>
    </row>
    <row r="983">
      <c r="J983" s="15"/>
      <c r="V983" s="15"/>
      <c r="W983" s="15"/>
    </row>
    <row r="984">
      <c r="J984" s="15"/>
      <c r="V984" s="15"/>
      <c r="W984" s="15"/>
    </row>
    <row r="985">
      <c r="J985" s="15"/>
      <c r="V985" s="15"/>
      <c r="W985" s="15"/>
    </row>
    <row r="986">
      <c r="J986" s="15"/>
      <c r="V986" s="15"/>
      <c r="W986" s="15"/>
    </row>
    <row r="987">
      <c r="J987" s="15"/>
      <c r="V987" s="15"/>
      <c r="W987" s="15"/>
    </row>
    <row r="988">
      <c r="J988" s="15"/>
      <c r="V988" s="15"/>
      <c r="W988" s="15"/>
    </row>
    <row r="989">
      <c r="J989" s="15"/>
      <c r="V989" s="15"/>
      <c r="W989" s="15"/>
    </row>
    <row r="990">
      <c r="J990" s="15"/>
      <c r="V990" s="15"/>
      <c r="W990" s="15"/>
    </row>
    <row r="991">
      <c r="J991" s="15"/>
      <c r="V991" s="15"/>
      <c r="W991" s="15"/>
    </row>
    <row r="992">
      <c r="J992" s="15"/>
      <c r="V992" s="15"/>
      <c r="W992" s="15"/>
    </row>
    <row r="993">
      <c r="J993" s="15"/>
      <c r="V993" s="15"/>
      <c r="W993" s="15"/>
    </row>
    <row r="994">
      <c r="J994" s="15"/>
      <c r="V994" s="15"/>
      <c r="W994" s="15"/>
    </row>
    <row r="995">
      <c r="J995" s="15"/>
      <c r="V995" s="15"/>
      <c r="W995" s="15"/>
    </row>
    <row r="996">
      <c r="J996" s="15"/>
      <c r="V996" s="15"/>
      <c r="W996" s="15"/>
    </row>
    <row r="997">
      <c r="J997" s="15"/>
      <c r="V997" s="15"/>
      <c r="W997" s="15"/>
    </row>
    <row r="998">
      <c r="J998" s="15"/>
      <c r="V998" s="15"/>
      <c r="W998" s="15"/>
    </row>
  </sheetData>
  <autoFilter ref="$B$6:$J$37"/>
  <mergeCells count="4">
    <mergeCell ref="B2:C2"/>
    <mergeCell ref="L6:O6"/>
    <mergeCell ref="Q6:R6"/>
    <mergeCell ref="T6:X6"/>
  </mergeCells>
  <conditionalFormatting sqref="G7:G36">
    <cfRule type="colorScale" priority="1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C6:C34">
    <cfRule type="colorScale" priority="2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U8:U13">
    <cfRule type="cellIs" dxfId="0" priority="3" operator="lessThanOrEqual">
      <formula>MEDIAN($C$7:$C$34)</formula>
    </cfRule>
  </conditionalFormatting>
  <conditionalFormatting sqref="U8:U13">
    <cfRule type="cellIs" dxfId="1" priority="4" operator="greaterThan">
      <formula>MEDIAN($C$7:$C$34)</formula>
    </cfRule>
  </conditionalFormatting>
  <conditionalFormatting sqref="R9">
    <cfRule type="cellIs" dxfId="0" priority="5" operator="lessThanOrEqual">
      <formula>COUNT($B:$B) - (#REF! + #REF!)</formula>
    </cfRule>
  </conditionalFormatting>
  <conditionalFormatting sqref="R9">
    <cfRule type="cellIs" dxfId="1" priority="6" operator="greaterThan">
      <formula>COUNT($B:$B) - (#REF! + #REF!)</formula>
    </cfRule>
  </conditionalFormatting>
  <conditionalFormatting sqref="J7:J36">
    <cfRule type="cellIs" dxfId="0" priority="7" operator="equal">
      <formula>"Sim"</formula>
    </cfRule>
  </conditionalFormatting>
  <conditionalFormatting sqref="J7:J36">
    <cfRule type="cellIs" dxfId="1" priority="8" operator="equal">
      <formula>"Não"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13"/>
    <col customWidth="1" min="2" max="2" width="12.63"/>
    <col customWidth="1" min="3" max="3" width="10.88"/>
    <col customWidth="1" min="4" max="4" width="11.5"/>
    <col customWidth="1" min="5" max="6" width="8.38"/>
    <col customWidth="1" min="7" max="7" width="11.13"/>
    <col customWidth="1" min="8" max="9" width="10.0"/>
    <col customWidth="1" min="10" max="10" width="9.5"/>
    <col customWidth="1" min="11" max="11" width="1.5"/>
    <col customWidth="1" min="12" max="12" width="11.88"/>
    <col customWidth="1" min="13" max="13" width="10.25"/>
    <col customWidth="1" min="14" max="14" width="5.13"/>
    <col customWidth="1" min="15" max="15" width="10.13"/>
    <col customWidth="1" min="16" max="16" width="1.5"/>
    <col customWidth="1" min="17" max="17" width="14.38"/>
    <col customWidth="1" min="18" max="18" width="10.88"/>
    <col customWidth="1" min="19" max="19" width="1.38"/>
    <col customWidth="1" min="20" max="20" width="9.25"/>
    <col customWidth="1" min="21" max="21" width="9.13"/>
    <col customWidth="1" min="22" max="22" width="4.63"/>
    <col customWidth="1" min="23" max="23" width="8.38"/>
    <col customWidth="1" min="24" max="24" width="7.75"/>
    <col customWidth="1" min="25" max="25" width="2.63"/>
  </cols>
  <sheetData>
    <row r="1">
      <c r="J1" s="15"/>
      <c r="V1" s="15"/>
      <c r="W1" s="15"/>
    </row>
    <row r="2" ht="22.5" customHeight="1">
      <c r="B2" s="68" t="s">
        <v>40</v>
      </c>
      <c r="C2" s="27"/>
      <c r="J2" s="15"/>
      <c r="V2" s="15"/>
      <c r="W2" s="15"/>
    </row>
    <row r="3">
      <c r="B3" s="69" t="s">
        <v>41</v>
      </c>
      <c r="C3" s="70"/>
      <c r="J3" s="15"/>
      <c r="V3" s="15"/>
      <c r="W3" s="15"/>
    </row>
    <row r="4">
      <c r="B4" s="69" t="s">
        <v>42</v>
      </c>
      <c r="C4" s="71"/>
      <c r="J4" s="15"/>
      <c r="V4" s="15"/>
      <c r="W4" s="15"/>
    </row>
    <row r="5">
      <c r="C5" s="1"/>
      <c r="J5" s="15"/>
      <c r="V5" s="15"/>
      <c r="W5" s="15"/>
    </row>
    <row r="6" ht="35.25" customHeight="1">
      <c r="A6" s="72"/>
      <c r="B6" s="73" t="s">
        <v>25</v>
      </c>
      <c r="C6" s="73" t="s">
        <v>43</v>
      </c>
      <c r="D6" s="73" t="s">
        <v>44</v>
      </c>
      <c r="E6" s="73" t="s">
        <v>45</v>
      </c>
      <c r="F6" s="73" t="s">
        <v>46</v>
      </c>
      <c r="G6" s="73" t="s">
        <v>47</v>
      </c>
      <c r="H6" s="73" t="s">
        <v>48</v>
      </c>
      <c r="I6" s="73" t="s">
        <v>49</v>
      </c>
      <c r="J6" s="73" t="s">
        <v>50</v>
      </c>
      <c r="L6" s="74" t="s">
        <v>51</v>
      </c>
      <c r="M6" s="26"/>
      <c r="N6" s="26"/>
      <c r="O6" s="27"/>
      <c r="Q6" s="74" t="s">
        <v>52</v>
      </c>
      <c r="R6" s="27"/>
      <c r="S6" s="72"/>
      <c r="T6" s="72"/>
    </row>
    <row r="7">
      <c r="A7" s="39"/>
      <c r="B7" s="39">
        <v>46327.0</v>
      </c>
      <c r="C7" s="75"/>
      <c r="D7" s="75"/>
      <c r="E7" s="75"/>
      <c r="F7" s="75"/>
      <c r="G7" s="56" t="str">
        <f t="shared" ref="G7:G36" si="1">IF(SUM(D7:F7) = 0, , (SUM(D7:F7)))</f>
        <v/>
      </c>
      <c r="H7" s="76" t="str">
        <f t="shared" ref="H7:H34" si="2">IFERROR(G7/C7, )</f>
        <v/>
      </c>
      <c r="I7" s="77">
        <f t="shared" ref="I7:I36" si="3">IFERROR(H7/25 * ($C$3/10), )</f>
        <v>0</v>
      </c>
      <c r="J7" s="41" t="str">
        <f t="shared" ref="J7:J36" si="4">IF(B7 &gt; TODAY(), "", IF(G7 = "", "Não", "Sim"))
</f>
        <v/>
      </c>
      <c r="L7" s="78"/>
      <c r="M7" s="79" t="s">
        <v>53</v>
      </c>
      <c r="N7" s="80" t="s">
        <v>54</v>
      </c>
      <c r="O7" s="81" t="s">
        <v>55</v>
      </c>
      <c r="Q7" s="82"/>
      <c r="R7" s="69" t="s">
        <v>56</v>
      </c>
      <c r="T7" s="2"/>
      <c r="U7" s="2"/>
      <c r="V7" s="2"/>
      <c r="W7" s="2"/>
      <c r="X7" s="83"/>
      <c r="Y7" s="2"/>
    </row>
    <row r="8">
      <c r="A8" s="39"/>
      <c r="B8" s="39">
        <v>46328.0</v>
      </c>
      <c r="C8" s="75"/>
      <c r="D8" s="75"/>
      <c r="E8" s="75"/>
      <c r="F8" s="75"/>
      <c r="G8" s="56" t="str">
        <f t="shared" si="1"/>
        <v/>
      </c>
      <c r="H8" s="76" t="str">
        <f t="shared" si="2"/>
        <v/>
      </c>
      <c r="I8" s="77">
        <f t="shared" si="3"/>
        <v>0</v>
      </c>
      <c r="J8" s="41" t="str">
        <f t="shared" si="4"/>
        <v/>
      </c>
      <c r="L8" s="84" t="s">
        <v>0</v>
      </c>
      <c r="M8" s="85" t="str">
        <f> IFERROR(MEDIAN(C7:C998), )</f>
        <v/>
      </c>
      <c r="N8" s="86"/>
      <c r="O8" s="87"/>
      <c r="P8" s="88"/>
      <c r="Q8" s="89" t="s">
        <v>57</v>
      </c>
      <c r="R8" s="17">
        <f>Count(B:B)</f>
        <v>30</v>
      </c>
      <c r="T8" s="90"/>
      <c r="U8" s="91"/>
      <c r="V8" s="2"/>
      <c r="W8" s="91"/>
      <c r="X8" s="92"/>
      <c r="Y8" s="56"/>
    </row>
    <row r="9">
      <c r="A9" s="39"/>
      <c r="B9" s="39">
        <v>46329.0</v>
      </c>
      <c r="C9" s="75"/>
      <c r="D9" s="75"/>
      <c r="E9" s="75"/>
      <c r="F9" s="75"/>
      <c r="G9" s="56" t="str">
        <f t="shared" si="1"/>
        <v/>
      </c>
      <c r="H9" s="76" t="str">
        <f t="shared" si="2"/>
        <v/>
      </c>
      <c r="I9" s="77">
        <f t="shared" si="3"/>
        <v>0</v>
      </c>
      <c r="J9" s="41" t="str">
        <f t="shared" si="4"/>
        <v/>
      </c>
      <c r="L9" s="89" t="s">
        <v>2</v>
      </c>
      <c r="M9" s="56" t="str">
        <f t="shared" ref="M9:N9" si="5"> IFERROR(MEDIAN(G7:G998), )</f>
        <v/>
      </c>
      <c r="N9" s="56" t="str">
        <f t="shared" si="5"/>
        <v/>
      </c>
      <c r="O9" s="93">
        <f> IFERROR($N$9 * ($C$3/10)  / 25, )</f>
        <v>0</v>
      </c>
      <c r="P9" s="88"/>
      <c r="Q9" s="89" t="s">
        <v>58</v>
      </c>
      <c r="R9" s="17">
        <f>COUNTIF(J:J, "=Sim")</f>
        <v>0</v>
      </c>
      <c r="T9" s="90"/>
      <c r="U9" s="91"/>
      <c r="V9" s="2"/>
      <c r="W9" s="91"/>
      <c r="X9" s="92"/>
      <c r="Y9" s="56"/>
    </row>
    <row r="10">
      <c r="A10" s="39"/>
      <c r="B10" s="39">
        <v>46330.0</v>
      </c>
      <c r="C10" s="75"/>
      <c r="D10" s="75"/>
      <c r="E10" s="75"/>
      <c r="F10" s="75"/>
      <c r="G10" s="56" t="str">
        <f t="shared" si="1"/>
        <v/>
      </c>
      <c r="H10" s="76" t="str">
        <f t="shared" si="2"/>
        <v/>
      </c>
      <c r="I10" s="77">
        <f t="shared" si="3"/>
        <v>0</v>
      </c>
      <c r="J10" s="41" t="str">
        <f t="shared" si="4"/>
        <v/>
      </c>
      <c r="L10" s="89" t="s">
        <v>59</v>
      </c>
      <c r="M10" s="94">
        <f>IFERROR(SUM(G7:G998), )</f>
        <v>0</v>
      </c>
      <c r="N10" s="95" t="str">
        <f> IFERROR($M$10 / $M$8, )</f>
        <v/>
      </c>
      <c r="O10" s="93">
        <f> IFERROR($N$10 * ($C$3/10)  / 25, )</f>
        <v>0</v>
      </c>
      <c r="P10" s="88"/>
      <c r="Q10" s="89" t="s">
        <v>60</v>
      </c>
      <c r="R10" s="96" t="str">
        <f>IFERROR(M12/M9, )</f>
        <v/>
      </c>
      <c r="T10" s="90"/>
      <c r="U10" s="91"/>
      <c r="V10" s="2"/>
      <c r="W10" s="91"/>
      <c r="X10" s="92"/>
      <c r="Y10" s="56"/>
    </row>
    <row r="11">
      <c r="A11" s="39"/>
      <c r="B11" s="39">
        <v>46331.0</v>
      </c>
      <c r="C11" s="75"/>
      <c r="D11" s="75"/>
      <c r="E11" s="75"/>
      <c r="F11" s="75"/>
      <c r="G11" s="56" t="str">
        <f t="shared" si="1"/>
        <v/>
      </c>
      <c r="H11" s="76" t="str">
        <f t="shared" si="2"/>
        <v/>
      </c>
      <c r="I11" s="77">
        <f t="shared" si="3"/>
        <v>0</v>
      </c>
      <c r="J11" s="41" t="str">
        <f t="shared" si="4"/>
        <v/>
      </c>
      <c r="L11" s="89" t="s">
        <v>61</v>
      </c>
      <c r="M11" s="75">
        <f> IFERROR($N$11 * $M$8, )</f>
        <v>0</v>
      </c>
      <c r="N11" s="98" t="str">
        <f> IFERROR($C$4, )</f>
        <v/>
      </c>
      <c r="O11" s="93">
        <f> IFERROR($N$11 * ($C$3/10)  / 25,"")</f>
        <v>0</v>
      </c>
      <c r="Q11" s="89" t="s">
        <v>62</v>
      </c>
      <c r="R11" s="17">
        <f>COUNTIF($J:$J, "=Não")</f>
        <v>0</v>
      </c>
      <c r="T11" s="90"/>
      <c r="U11" s="91"/>
      <c r="V11" s="2"/>
      <c r="W11" s="91"/>
      <c r="X11" s="92"/>
      <c r="Y11" s="56"/>
    </row>
    <row r="12">
      <c r="A12" s="39"/>
      <c r="B12" s="39">
        <v>46332.0</v>
      </c>
      <c r="C12" s="75"/>
      <c r="D12" s="75"/>
      <c r="E12" s="56"/>
      <c r="F12" s="75"/>
      <c r="G12" s="56" t="str">
        <f t="shared" si="1"/>
        <v/>
      </c>
      <c r="H12" s="76" t="str">
        <f t="shared" si="2"/>
        <v/>
      </c>
      <c r="I12" s="77">
        <f t="shared" si="3"/>
        <v>0</v>
      </c>
      <c r="J12" s="41" t="str">
        <f t="shared" si="4"/>
        <v/>
      </c>
      <c r="L12" s="89" t="s">
        <v>63</v>
      </c>
      <c r="M12" s="56">
        <f> IFERROR($M$11 - $M$10, )</f>
        <v>0</v>
      </c>
      <c r="N12" s="56">
        <f>N11 - N10</f>
        <v>0</v>
      </c>
      <c r="O12" s="93">
        <f> IFERROR($N$12 * ($C$3/10)  / 25, )</f>
        <v>0</v>
      </c>
      <c r="Q12" s="89" t="s">
        <v>64</v>
      </c>
      <c r="R12" s="96">
        <f>R8 - R9 - R10</f>
        <v>30</v>
      </c>
      <c r="T12" s="90"/>
      <c r="U12" s="91"/>
      <c r="V12" s="2"/>
      <c r="W12" s="91"/>
      <c r="X12" s="92"/>
      <c r="Y12" s="56"/>
    </row>
    <row r="13">
      <c r="A13" s="39"/>
      <c r="B13" s="39">
        <v>46333.0</v>
      </c>
      <c r="C13" s="75"/>
      <c r="D13" s="75"/>
      <c r="E13" s="75"/>
      <c r="F13" s="75"/>
      <c r="G13" s="56" t="str">
        <f t="shared" si="1"/>
        <v/>
      </c>
      <c r="H13" s="76" t="str">
        <f t="shared" si="2"/>
        <v/>
      </c>
      <c r="I13" s="77">
        <f t="shared" si="3"/>
        <v>0</v>
      </c>
      <c r="J13" s="41" t="str">
        <f t="shared" si="4"/>
        <v/>
      </c>
      <c r="L13" s="99"/>
      <c r="M13" s="100"/>
      <c r="N13" s="100"/>
      <c r="O13" s="101"/>
      <c r="Q13" s="99" t="s">
        <v>7</v>
      </c>
      <c r="R13" s="23" t="str">
        <f>IF(M10 &gt;= M11, "🔵 Concluído", IF((R8-R9)-R10-R11&gt;=2, "🟢 Seguro", IF((R8-R9)-R10-R11&gt;=0, "🟡 Atenção", "🔴 Risco")))</f>
        <v>🔵 Concluído</v>
      </c>
      <c r="T13" s="90"/>
      <c r="U13" s="91"/>
      <c r="V13" s="2"/>
      <c r="W13" s="91"/>
      <c r="X13" s="92"/>
      <c r="Y13" s="56"/>
    </row>
    <row r="14">
      <c r="A14" s="39"/>
      <c r="B14" s="39">
        <v>46334.0</v>
      </c>
      <c r="C14" s="75"/>
      <c r="D14" s="75"/>
      <c r="E14" s="75"/>
      <c r="F14" s="75"/>
      <c r="G14" s="56" t="str">
        <f t="shared" si="1"/>
        <v/>
      </c>
      <c r="H14" s="76" t="str">
        <f t="shared" si="2"/>
        <v/>
      </c>
      <c r="I14" s="77">
        <f t="shared" si="3"/>
        <v>0</v>
      </c>
      <c r="J14" s="41" t="str">
        <f t="shared" si="4"/>
        <v/>
      </c>
      <c r="L14" s="1"/>
      <c r="M14" s="1"/>
      <c r="N14" s="1"/>
      <c r="O14" s="1"/>
      <c r="Q14" s="1"/>
      <c r="R14" s="15"/>
      <c r="V14" s="15"/>
      <c r="W14" s="15"/>
      <c r="Y14" s="56"/>
    </row>
    <row r="15">
      <c r="A15" s="39"/>
      <c r="B15" s="39">
        <v>46335.0</v>
      </c>
      <c r="C15" s="75"/>
      <c r="D15" s="75"/>
      <c r="E15" s="75"/>
      <c r="F15" s="75"/>
      <c r="G15" s="56" t="str">
        <f t="shared" si="1"/>
        <v/>
      </c>
      <c r="H15" s="76" t="str">
        <f t="shared" si="2"/>
        <v/>
      </c>
      <c r="I15" s="77">
        <f t="shared" si="3"/>
        <v>0</v>
      </c>
      <c r="J15" s="41" t="str">
        <f t="shared" si="4"/>
        <v/>
      </c>
      <c r="L15" s="1"/>
      <c r="V15" s="15"/>
      <c r="W15" s="15"/>
    </row>
    <row r="16">
      <c r="A16" s="39"/>
      <c r="B16" s="39">
        <v>46336.0</v>
      </c>
      <c r="C16" s="75"/>
      <c r="D16" s="75"/>
      <c r="E16" s="75"/>
      <c r="F16" s="75"/>
      <c r="G16" s="56" t="str">
        <f t="shared" si="1"/>
        <v/>
      </c>
      <c r="H16" s="76" t="str">
        <f t="shared" si="2"/>
        <v/>
      </c>
      <c r="I16" s="77">
        <f t="shared" si="3"/>
        <v>0</v>
      </c>
      <c r="J16" s="41" t="str">
        <f t="shared" si="4"/>
        <v/>
      </c>
      <c r="N16" s="102"/>
      <c r="V16" s="15"/>
      <c r="W16" s="15"/>
    </row>
    <row r="17">
      <c r="A17" s="39"/>
      <c r="B17" s="39">
        <v>46337.0</v>
      </c>
      <c r="C17" s="75"/>
      <c r="D17" s="75"/>
      <c r="E17" s="75"/>
      <c r="F17" s="75"/>
      <c r="G17" s="56" t="str">
        <f t="shared" si="1"/>
        <v/>
      </c>
      <c r="H17" s="76" t="str">
        <f t="shared" si="2"/>
        <v/>
      </c>
      <c r="I17" s="77">
        <f t="shared" si="3"/>
        <v>0</v>
      </c>
      <c r="J17" s="41" t="str">
        <f t="shared" si="4"/>
        <v/>
      </c>
      <c r="V17" s="15"/>
      <c r="W17" s="15"/>
    </row>
    <row r="18">
      <c r="A18" s="39"/>
      <c r="B18" s="39">
        <v>46338.0</v>
      </c>
      <c r="C18" s="56"/>
      <c r="D18" s="56"/>
      <c r="E18" s="56"/>
      <c r="F18" s="56"/>
      <c r="G18" s="56" t="str">
        <f t="shared" si="1"/>
        <v/>
      </c>
      <c r="H18" s="76" t="str">
        <f t="shared" si="2"/>
        <v/>
      </c>
      <c r="I18" s="77">
        <f t="shared" si="3"/>
        <v>0</v>
      </c>
      <c r="J18" s="41" t="str">
        <f t="shared" si="4"/>
        <v/>
      </c>
      <c r="V18" s="15"/>
      <c r="W18" s="15"/>
    </row>
    <row r="19">
      <c r="A19" s="39"/>
      <c r="B19" s="39">
        <v>46339.0</v>
      </c>
      <c r="C19" s="56"/>
      <c r="D19" s="56"/>
      <c r="E19" s="56"/>
      <c r="F19" s="56"/>
      <c r="G19" s="56" t="str">
        <f t="shared" si="1"/>
        <v/>
      </c>
      <c r="H19" s="76" t="str">
        <f t="shared" si="2"/>
        <v/>
      </c>
      <c r="I19" s="77">
        <f t="shared" si="3"/>
        <v>0</v>
      </c>
      <c r="J19" s="41" t="str">
        <f t="shared" si="4"/>
        <v/>
      </c>
      <c r="V19" s="15"/>
      <c r="W19" s="15"/>
    </row>
    <row r="20">
      <c r="A20" s="39"/>
      <c r="B20" s="39">
        <v>46340.0</v>
      </c>
      <c r="C20" s="56"/>
      <c r="D20" s="56"/>
      <c r="E20" s="56"/>
      <c r="F20" s="56"/>
      <c r="G20" s="56" t="str">
        <f t="shared" si="1"/>
        <v/>
      </c>
      <c r="H20" s="76" t="str">
        <f t="shared" si="2"/>
        <v/>
      </c>
      <c r="I20" s="77">
        <f t="shared" si="3"/>
        <v>0</v>
      </c>
      <c r="J20" s="41" t="str">
        <f t="shared" si="4"/>
        <v/>
      </c>
      <c r="V20" s="15"/>
      <c r="W20" s="15"/>
    </row>
    <row r="21">
      <c r="A21" s="39"/>
      <c r="B21" s="39">
        <v>46341.0</v>
      </c>
      <c r="C21" s="56"/>
      <c r="D21" s="56"/>
      <c r="E21" s="56"/>
      <c r="F21" s="56"/>
      <c r="G21" s="56" t="str">
        <f t="shared" si="1"/>
        <v/>
      </c>
      <c r="H21" s="76" t="str">
        <f t="shared" si="2"/>
        <v/>
      </c>
      <c r="I21" s="77">
        <f t="shared" si="3"/>
        <v>0</v>
      </c>
      <c r="J21" s="41" t="str">
        <f t="shared" si="4"/>
        <v/>
      </c>
      <c r="V21" s="15"/>
      <c r="W21" s="15"/>
    </row>
    <row r="22">
      <c r="A22" s="39"/>
      <c r="B22" s="39">
        <v>46342.0</v>
      </c>
      <c r="C22" s="56"/>
      <c r="D22" s="56"/>
      <c r="E22" s="56"/>
      <c r="F22" s="56"/>
      <c r="G22" s="56" t="str">
        <f t="shared" si="1"/>
        <v/>
      </c>
      <c r="H22" s="76" t="str">
        <f t="shared" si="2"/>
        <v/>
      </c>
      <c r="I22" s="77">
        <f t="shared" si="3"/>
        <v>0</v>
      </c>
      <c r="J22" s="41" t="str">
        <f t="shared" si="4"/>
        <v/>
      </c>
      <c r="V22" s="15"/>
      <c r="W22" s="15"/>
    </row>
    <row r="23">
      <c r="A23" s="39"/>
      <c r="B23" s="39">
        <v>46343.0</v>
      </c>
      <c r="C23" s="56"/>
      <c r="D23" s="56"/>
      <c r="E23" s="56"/>
      <c r="F23" s="56"/>
      <c r="G23" s="56" t="str">
        <f t="shared" si="1"/>
        <v/>
      </c>
      <c r="H23" s="76" t="str">
        <f t="shared" si="2"/>
        <v/>
      </c>
      <c r="I23" s="77">
        <f t="shared" si="3"/>
        <v>0</v>
      </c>
      <c r="J23" s="41" t="str">
        <f t="shared" si="4"/>
        <v/>
      </c>
      <c r="V23" s="15"/>
      <c r="W23" s="15"/>
    </row>
    <row r="24">
      <c r="A24" s="39"/>
      <c r="B24" s="39">
        <v>46344.0</v>
      </c>
      <c r="C24" s="56"/>
      <c r="D24" s="56"/>
      <c r="E24" s="56"/>
      <c r="F24" s="56"/>
      <c r="G24" s="56" t="str">
        <f t="shared" si="1"/>
        <v/>
      </c>
      <c r="H24" s="76" t="str">
        <f t="shared" si="2"/>
        <v/>
      </c>
      <c r="I24" s="77">
        <f t="shared" si="3"/>
        <v>0</v>
      </c>
      <c r="J24" s="41" t="str">
        <f t="shared" si="4"/>
        <v/>
      </c>
      <c r="N24" s="1"/>
      <c r="V24" s="15"/>
      <c r="W24" s="15"/>
    </row>
    <row r="25">
      <c r="A25" s="39"/>
      <c r="B25" s="39">
        <v>46345.0</v>
      </c>
      <c r="C25" s="75"/>
      <c r="D25" s="56"/>
      <c r="E25" s="75"/>
      <c r="F25" s="75"/>
      <c r="G25" s="56" t="str">
        <f t="shared" si="1"/>
        <v/>
      </c>
      <c r="H25" s="76" t="str">
        <f t="shared" si="2"/>
        <v/>
      </c>
      <c r="I25" s="77">
        <f t="shared" si="3"/>
        <v>0</v>
      </c>
      <c r="J25" s="41" t="str">
        <f t="shared" si="4"/>
        <v/>
      </c>
      <c r="V25" s="15"/>
      <c r="W25" s="15"/>
    </row>
    <row r="26">
      <c r="A26" s="39"/>
      <c r="B26" s="39">
        <v>46346.0</v>
      </c>
      <c r="C26" s="75"/>
      <c r="D26" s="56"/>
      <c r="E26" s="56"/>
      <c r="F26" s="75"/>
      <c r="G26" s="56" t="str">
        <f t="shared" si="1"/>
        <v/>
      </c>
      <c r="H26" s="76" t="str">
        <f t="shared" si="2"/>
        <v/>
      </c>
      <c r="I26" s="77">
        <f t="shared" si="3"/>
        <v>0</v>
      </c>
      <c r="J26" s="41" t="str">
        <f t="shared" si="4"/>
        <v/>
      </c>
      <c r="V26" s="15"/>
      <c r="W26" s="15"/>
    </row>
    <row r="27">
      <c r="A27" s="39"/>
      <c r="B27" s="39">
        <v>46347.0</v>
      </c>
      <c r="C27" s="75"/>
      <c r="D27" s="75"/>
      <c r="E27" s="75"/>
      <c r="F27" s="75"/>
      <c r="G27" s="56" t="str">
        <f t="shared" si="1"/>
        <v/>
      </c>
      <c r="H27" s="76" t="str">
        <f t="shared" si="2"/>
        <v/>
      </c>
      <c r="I27" s="77">
        <f t="shared" si="3"/>
        <v>0</v>
      </c>
      <c r="J27" s="41" t="str">
        <f t="shared" si="4"/>
        <v/>
      </c>
      <c r="V27" s="15"/>
      <c r="W27" s="15"/>
    </row>
    <row r="28">
      <c r="A28" s="39"/>
      <c r="B28" s="39">
        <v>46348.0</v>
      </c>
      <c r="C28" s="75"/>
      <c r="D28" s="56"/>
      <c r="E28" s="56"/>
      <c r="F28" s="75"/>
      <c r="G28" s="56" t="str">
        <f t="shared" si="1"/>
        <v/>
      </c>
      <c r="H28" s="104" t="str">
        <f t="shared" si="2"/>
        <v/>
      </c>
      <c r="I28" s="77">
        <f t="shared" si="3"/>
        <v>0</v>
      </c>
      <c r="J28" s="41" t="str">
        <f t="shared" si="4"/>
        <v/>
      </c>
      <c r="N28" s="1"/>
      <c r="V28" s="15"/>
      <c r="W28" s="15"/>
    </row>
    <row r="29">
      <c r="A29" s="39"/>
      <c r="B29" s="39">
        <v>46349.0</v>
      </c>
      <c r="C29" s="75"/>
      <c r="D29" s="56"/>
      <c r="E29" s="56"/>
      <c r="F29" s="75"/>
      <c r="G29" s="56" t="str">
        <f t="shared" si="1"/>
        <v/>
      </c>
      <c r="H29" s="104" t="str">
        <f t="shared" si="2"/>
        <v/>
      </c>
      <c r="I29" s="77">
        <f t="shared" si="3"/>
        <v>0</v>
      </c>
      <c r="J29" s="41" t="str">
        <f t="shared" si="4"/>
        <v/>
      </c>
      <c r="V29" s="15"/>
      <c r="W29" s="15"/>
    </row>
    <row r="30">
      <c r="A30" s="39"/>
      <c r="B30" s="39">
        <v>46350.0</v>
      </c>
      <c r="C30" s="56"/>
      <c r="D30" s="56"/>
      <c r="E30" s="56"/>
      <c r="F30" s="56"/>
      <c r="G30" s="56" t="str">
        <f t="shared" si="1"/>
        <v/>
      </c>
      <c r="H30" s="104" t="str">
        <f t="shared" si="2"/>
        <v/>
      </c>
      <c r="I30" s="77">
        <f t="shared" si="3"/>
        <v>0</v>
      </c>
      <c r="J30" s="41" t="str">
        <f t="shared" si="4"/>
        <v/>
      </c>
      <c r="V30" s="15"/>
      <c r="W30" s="15"/>
    </row>
    <row r="31">
      <c r="A31" s="39"/>
      <c r="B31" s="39">
        <v>46351.0</v>
      </c>
      <c r="C31" s="56"/>
      <c r="D31" s="56"/>
      <c r="E31" s="56"/>
      <c r="F31" s="56"/>
      <c r="G31" s="56" t="str">
        <f t="shared" si="1"/>
        <v/>
      </c>
      <c r="H31" s="104" t="str">
        <f t="shared" si="2"/>
        <v/>
      </c>
      <c r="I31" s="77">
        <f t="shared" si="3"/>
        <v>0</v>
      </c>
      <c r="J31" s="41" t="str">
        <f t="shared" si="4"/>
        <v/>
      </c>
      <c r="V31" s="15"/>
      <c r="W31" s="15"/>
    </row>
    <row r="32">
      <c r="A32" s="39"/>
      <c r="B32" s="39">
        <v>46352.0</v>
      </c>
      <c r="C32" s="56"/>
      <c r="D32" s="56"/>
      <c r="E32" s="56"/>
      <c r="F32" s="56"/>
      <c r="G32" s="56" t="str">
        <f t="shared" si="1"/>
        <v/>
      </c>
      <c r="H32" s="104" t="str">
        <f t="shared" si="2"/>
        <v/>
      </c>
      <c r="I32" s="77">
        <f t="shared" si="3"/>
        <v>0</v>
      </c>
      <c r="J32" s="41" t="str">
        <f t="shared" si="4"/>
        <v/>
      </c>
      <c r="V32" s="15"/>
      <c r="W32" s="15"/>
    </row>
    <row r="33">
      <c r="A33" s="39"/>
      <c r="B33" s="39">
        <v>46353.0</v>
      </c>
      <c r="C33" s="56"/>
      <c r="D33" s="56"/>
      <c r="E33" s="56"/>
      <c r="F33" s="56"/>
      <c r="G33" s="56" t="str">
        <f t="shared" si="1"/>
        <v/>
      </c>
      <c r="H33" s="104" t="str">
        <f t="shared" si="2"/>
        <v/>
      </c>
      <c r="I33" s="77">
        <f t="shared" si="3"/>
        <v>0</v>
      </c>
      <c r="J33" s="41" t="str">
        <f t="shared" si="4"/>
        <v/>
      </c>
      <c r="V33" s="15"/>
      <c r="W33" s="15"/>
    </row>
    <row r="34">
      <c r="A34" s="39"/>
      <c r="B34" s="39">
        <v>46354.0</v>
      </c>
      <c r="C34" s="56"/>
      <c r="D34" s="56"/>
      <c r="E34" s="56"/>
      <c r="F34" s="56"/>
      <c r="G34" s="56" t="str">
        <f t="shared" si="1"/>
        <v/>
      </c>
      <c r="H34" s="104" t="str">
        <f t="shared" si="2"/>
        <v/>
      </c>
      <c r="I34" s="77">
        <f t="shared" si="3"/>
        <v>0</v>
      </c>
      <c r="J34" s="41" t="str">
        <f t="shared" si="4"/>
        <v/>
      </c>
      <c r="V34" s="15"/>
      <c r="W34" s="15"/>
    </row>
    <row r="35">
      <c r="B35" s="39">
        <v>46355.0</v>
      </c>
      <c r="G35" s="56" t="str">
        <f t="shared" si="1"/>
        <v/>
      </c>
      <c r="I35" s="77">
        <f t="shared" si="3"/>
        <v>0</v>
      </c>
      <c r="J35" s="41" t="str">
        <f t="shared" si="4"/>
        <v/>
      </c>
      <c r="V35" s="15"/>
      <c r="W35" s="15"/>
    </row>
    <row r="36">
      <c r="B36" s="39">
        <v>46356.0</v>
      </c>
      <c r="G36" s="56" t="str">
        <f t="shared" si="1"/>
        <v/>
      </c>
      <c r="H36" s="104" t="str">
        <f>IFERROR(G35/C35, )</f>
        <v/>
      </c>
      <c r="I36" s="77">
        <f t="shared" si="3"/>
        <v>0</v>
      </c>
      <c r="J36" s="41" t="str">
        <f t="shared" si="4"/>
        <v/>
      </c>
      <c r="V36" s="15"/>
      <c r="W36" s="15"/>
    </row>
    <row r="37">
      <c r="B37" s="39"/>
      <c r="J37" s="15"/>
      <c r="V37" s="15"/>
      <c r="W37" s="15"/>
    </row>
    <row r="38">
      <c r="J38" s="15"/>
      <c r="V38" s="15"/>
      <c r="W38" s="15"/>
    </row>
    <row r="39">
      <c r="J39" s="15"/>
      <c r="V39" s="15"/>
      <c r="W39" s="15"/>
    </row>
    <row r="40">
      <c r="J40" s="15"/>
      <c r="V40" s="15"/>
      <c r="W40" s="15"/>
    </row>
    <row r="41">
      <c r="J41" s="15"/>
      <c r="V41" s="15"/>
      <c r="W41" s="15"/>
    </row>
    <row r="42">
      <c r="J42" s="15"/>
      <c r="V42" s="15"/>
      <c r="W42" s="15"/>
    </row>
    <row r="43">
      <c r="J43" s="15"/>
      <c r="V43" s="15"/>
      <c r="W43" s="15"/>
    </row>
    <row r="44">
      <c r="J44" s="15"/>
      <c r="V44" s="15"/>
      <c r="W44" s="15"/>
    </row>
    <row r="45">
      <c r="J45" s="15"/>
      <c r="V45" s="15"/>
      <c r="W45" s="15"/>
    </row>
    <row r="46">
      <c r="J46" s="15"/>
      <c r="V46" s="15"/>
      <c r="W46" s="15"/>
    </row>
    <row r="47">
      <c r="J47" s="15"/>
      <c r="V47" s="15"/>
      <c r="W47" s="15"/>
    </row>
    <row r="48">
      <c r="J48" s="15"/>
      <c r="V48" s="15"/>
      <c r="W48" s="15"/>
    </row>
    <row r="49">
      <c r="J49" s="15"/>
      <c r="V49" s="15"/>
      <c r="W49" s="15"/>
    </row>
    <row r="50">
      <c r="J50" s="15"/>
      <c r="V50" s="15"/>
      <c r="W50" s="15"/>
    </row>
    <row r="51">
      <c r="J51" s="15"/>
      <c r="V51" s="15"/>
      <c r="W51" s="15"/>
    </row>
    <row r="52">
      <c r="J52" s="15"/>
      <c r="V52" s="15"/>
      <c r="W52" s="15"/>
    </row>
    <row r="53">
      <c r="J53" s="15"/>
      <c r="V53" s="15"/>
      <c r="W53" s="15"/>
    </row>
    <row r="54">
      <c r="J54" s="15"/>
      <c r="V54" s="15"/>
      <c r="W54" s="15"/>
    </row>
    <row r="55">
      <c r="J55" s="15"/>
      <c r="V55" s="15"/>
      <c r="W55" s="15"/>
    </row>
    <row r="56">
      <c r="J56" s="15"/>
      <c r="V56" s="15"/>
      <c r="W56" s="15"/>
    </row>
    <row r="57">
      <c r="J57" s="15"/>
      <c r="V57" s="15"/>
      <c r="W57" s="15"/>
    </row>
    <row r="58">
      <c r="J58" s="15"/>
      <c r="V58" s="15"/>
      <c r="W58" s="15"/>
    </row>
    <row r="59">
      <c r="J59" s="15"/>
      <c r="V59" s="15"/>
      <c r="W59" s="15"/>
    </row>
    <row r="60">
      <c r="J60" s="15"/>
      <c r="V60" s="15"/>
      <c r="W60" s="15"/>
    </row>
    <row r="61">
      <c r="J61" s="15"/>
      <c r="V61" s="15"/>
      <c r="W61" s="15"/>
    </row>
    <row r="62">
      <c r="J62" s="15"/>
      <c r="V62" s="15"/>
      <c r="W62" s="15"/>
    </row>
    <row r="63">
      <c r="J63" s="15"/>
      <c r="V63" s="15"/>
      <c r="W63" s="15"/>
    </row>
    <row r="64">
      <c r="J64" s="15"/>
      <c r="V64" s="15"/>
      <c r="W64" s="15"/>
    </row>
    <row r="65">
      <c r="J65" s="15"/>
      <c r="V65" s="15"/>
      <c r="W65" s="15"/>
    </row>
    <row r="66">
      <c r="J66" s="15"/>
      <c r="V66" s="15"/>
      <c r="W66" s="15"/>
    </row>
    <row r="67">
      <c r="J67" s="15"/>
      <c r="V67" s="15"/>
      <c r="W67" s="15"/>
    </row>
    <row r="68">
      <c r="J68" s="15"/>
      <c r="V68" s="15"/>
      <c r="W68" s="15"/>
    </row>
    <row r="69">
      <c r="J69" s="15"/>
      <c r="V69" s="15"/>
      <c r="W69" s="15"/>
    </row>
    <row r="70">
      <c r="J70" s="15"/>
      <c r="V70" s="15"/>
      <c r="W70" s="15"/>
    </row>
    <row r="71">
      <c r="J71" s="15"/>
      <c r="V71" s="15"/>
      <c r="W71" s="15"/>
    </row>
    <row r="72">
      <c r="J72" s="15"/>
      <c r="V72" s="15"/>
      <c r="W72" s="15"/>
    </row>
    <row r="73">
      <c r="J73" s="15"/>
      <c r="V73" s="15"/>
      <c r="W73" s="15"/>
    </row>
    <row r="74">
      <c r="J74" s="15"/>
      <c r="V74" s="15"/>
      <c r="W74" s="15"/>
    </row>
    <row r="75">
      <c r="J75" s="15"/>
      <c r="V75" s="15"/>
      <c r="W75" s="15"/>
    </row>
    <row r="76">
      <c r="J76" s="15"/>
      <c r="V76" s="15"/>
      <c r="W76" s="15"/>
    </row>
    <row r="77">
      <c r="J77" s="15"/>
      <c r="V77" s="15"/>
      <c r="W77" s="15"/>
    </row>
    <row r="78">
      <c r="J78" s="15"/>
      <c r="V78" s="15"/>
      <c r="W78" s="15"/>
    </row>
    <row r="79">
      <c r="J79" s="15"/>
      <c r="V79" s="15"/>
      <c r="W79" s="15"/>
    </row>
    <row r="80">
      <c r="J80" s="15"/>
      <c r="V80" s="15"/>
      <c r="W80" s="15"/>
    </row>
    <row r="81">
      <c r="J81" s="15"/>
      <c r="V81" s="15"/>
      <c r="W81" s="15"/>
    </row>
    <row r="82">
      <c r="J82" s="15"/>
      <c r="V82" s="15"/>
      <c r="W82" s="15"/>
    </row>
    <row r="83">
      <c r="J83" s="15"/>
      <c r="V83" s="15"/>
      <c r="W83" s="15"/>
    </row>
    <row r="84">
      <c r="J84" s="15"/>
      <c r="V84" s="15"/>
      <c r="W84" s="15"/>
    </row>
    <row r="85">
      <c r="J85" s="15"/>
      <c r="V85" s="15"/>
      <c r="W85" s="15"/>
    </row>
    <row r="86">
      <c r="J86" s="15"/>
      <c r="V86" s="15"/>
      <c r="W86" s="15"/>
    </row>
    <row r="87">
      <c r="J87" s="15"/>
      <c r="V87" s="15"/>
      <c r="W87" s="15"/>
    </row>
    <row r="88">
      <c r="J88" s="15"/>
      <c r="V88" s="15"/>
      <c r="W88" s="15"/>
    </row>
    <row r="89">
      <c r="J89" s="15"/>
      <c r="V89" s="15"/>
      <c r="W89" s="15"/>
    </row>
    <row r="90">
      <c r="J90" s="15"/>
      <c r="V90" s="15"/>
      <c r="W90" s="15"/>
    </row>
    <row r="91">
      <c r="J91" s="15"/>
      <c r="V91" s="15"/>
      <c r="W91" s="15"/>
    </row>
    <row r="92">
      <c r="J92" s="15"/>
      <c r="V92" s="15"/>
      <c r="W92" s="15"/>
    </row>
    <row r="93">
      <c r="J93" s="15"/>
      <c r="V93" s="15"/>
      <c r="W93" s="15"/>
    </row>
    <row r="94">
      <c r="J94" s="15"/>
      <c r="V94" s="15"/>
      <c r="W94" s="15"/>
    </row>
    <row r="95">
      <c r="J95" s="15"/>
      <c r="V95" s="15"/>
      <c r="W95" s="15"/>
    </row>
    <row r="96">
      <c r="J96" s="15"/>
      <c r="V96" s="15"/>
      <c r="W96" s="15"/>
    </row>
    <row r="97">
      <c r="J97" s="15"/>
      <c r="V97" s="15"/>
      <c r="W97" s="15"/>
    </row>
    <row r="98">
      <c r="J98" s="15"/>
      <c r="V98" s="15"/>
      <c r="W98" s="15"/>
    </row>
    <row r="99">
      <c r="J99" s="15"/>
      <c r="V99" s="15"/>
      <c r="W99" s="15"/>
    </row>
    <row r="100">
      <c r="J100" s="15"/>
      <c r="V100" s="15"/>
      <c r="W100" s="15"/>
    </row>
    <row r="101">
      <c r="J101" s="15"/>
      <c r="V101" s="15"/>
      <c r="W101" s="15"/>
    </row>
    <row r="102">
      <c r="J102" s="15"/>
      <c r="V102" s="15"/>
      <c r="W102" s="15"/>
    </row>
    <row r="103">
      <c r="J103" s="15"/>
      <c r="V103" s="15"/>
      <c r="W103" s="15"/>
    </row>
    <row r="104">
      <c r="J104" s="15"/>
      <c r="V104" s="15"/>
      <c r="W104" s="15"/>
    </row>
    <row r="105">
      <c r="J105" s="15"/>
      <c r="V105" s="15"/>
      <c r="W105" s="15"/>
    </row>
    <row r="106">
      <c r="J106" s="15"/>
      <c r="V106" s="15"/>
      <c r="W106" s="15"/>
    </row>
    <row r="107">
      <c r="J107" s="15"/>
      <c r="V107" s="15"/>
      <c r="W107" s="15"/>
    </row>
    <row r="108">
      <c r="J108" s="15"/>
      <c r="V108" s="15"/>
      <c r="W108" s="15"/>
    </row>
    <row r="109">
      <c r="J109" s="15"/>
      <c r="V109" s="15"/>
      <c r="W109" s="15"/>
    </row>
    <row r="110">
      <c r="J110" s="15"/>
      <c r="V110" s="15"/>
      <c r="W110" s="15"/>
    </row>
    <row r="111">
      <c r="J111" s="15"/>
      <c r="V111" s="15"/>
      <c r="W111" s="15"/>
    </row>
    <row r="112">
      <c r="J112" s="15"/>
      <c r="V112" s="15"/>
      <c r="W112" s="15"/>
    </row>
    <row r="113">
      <c r="J113" s="15"/>
      <c r="V113" s="15"/>
      <c r="W113" s="15"/>
    </row>
    <row r="114">
      <c r="J114" s="15"/>
      <c r="V114" s="15"/>
      <c r="W114" s="15"/>
    </row>
    <row r="115">
      <c r="J115" s="15"/>
      <c r="V115" s="15"/>
      <c r="W115" s="15"/>
    </row>
    <row r="116">
      <c r="J116" s="15"/>
      <c r="V116" s="15"/>
      <c r="W116" s="15"/>
    </row>
    <row r="117">
      <c r="J117" s="15"/>
      <c r="V117" s="15"/>
      <c r="W117" s="15"/>
    </row>
    <row r="118">
      <c r="J118" s="15"/>
      <c r="V118" s="15"/>
      <c r="W118" s="15"/>
    </row>
    <row r="119">
      <c r="J119" s="15"/>
      <c r="V119" s="15"/>
      <c r="W119" s="15"/>
    </row>
    <row r="120">
      <c r="J120" s="15"/>
      <c r="V120" s="15"/>
      <c r="W120" s="15"/>
    </row>
    <row r="121">
      <c r="J121" s="15"/>
      <c r="V121" s="15"/>
      <c r="W121" s="15"/>
    </row>
    <row r="122">
      <c r="J122" s="15"/>
      <c r="V122" s="15"/>
      <c r="W122" s="15"/>
    </row>
    <row r="123">
      <c r="J123" s="15"/>
      <c r="V123" s="15"/>
      <c r="W123" s="15"/>
    </row>
    <row r="124">
      <c r="J124" s="15"/>
      <c r="V124" s="15"/>
      <c r="W124" s="15"/>
    </row>
    <row r="125">
      <c r="J125" s="15"/>
      <c r="V125" s="15"/>
      <c r="W125" s="15"/>
    </row>
    <row r="126">
      <c r="J126" s="15"/>
      <c r="V126" s="15"/>
      <c r="W126" s="15"/>
    </row>
    <row r="127">
      <c r="J127" s="15"/>
      <c r="V127" s="15"/>
      <c r="W127" s="15"/>
    </row>
    <row r="128">
      <c r="J128" s="15"/>
      <c r="V128" s="15"/>
      <c r="W128" s="15"/>
    </row>
    <row r="129">
      <c r="J129" s="15"/>
      <c r="V129" s="15"/>
      <c r="W129" s="15"/>
    </row>
    <row r="130">
      <c r="J130" s="15"/>
      <c r="V130" s="15"/>
      <c r="W130" s="15"/>
    </row>
    <row r="131">
      <c r="J131" s="15"/>
      <c r="V131" s="15"/>
      <c r="W131" s="15"/>
    </row>
    <row r="132">
      <c r="J132" s="15"/>
      <c r="V132" s="15"/>
      <c r="W132" s="15"/>
    </row>
    <row r="133">
      <c r="J133" s="15"/>
      <c r="V133" s="15"/>
      <c r="W133" s="15"/>
    </row>
    <row r="134">
      <c r="J134" s="15"/>
      <c r="V134" s="15"/>
      <c r="W134" s="15"/>
    </row>
    <row r="135">
      <c r="J135" s="15"/>
      <c r="V135" s="15"/>
      <c r="W135" s="15"/>
    </row>
    <row r="136">
      <c r="J136" s="15"/>
      <c r="V136" s="15"/>
      <c r="W136" s="15"/>
    </row>
    <row r="137">
      <c r="J137" s="15"/>
      <c r="V137" s="15"/>
      <c r="W137" s="15"/>
    </row>
    <row r="138">
      <c r="J138" s="15"/>
      <c r="V138" s="15"/>
      <c r="W138" s="15"/>
    </row>
    <row r="139">
      <c r="J139" s="15"/>
      <c r="V139" s="15"/>
      <c r="W139" s="15"/>
    </row>
    <row r="140">
      <c r="J140" s="15"/>
      <c r="V140" s="15"/>
      <c r="W140" s="15"/>
    </row>
    <row r="141">
      <c r="J141" s="15"/>
      <c r="V141" s="15"/>
      <c r="W141" s="15"/>
    </row>
    <row r="142">
      <c r="J142" s="15"/>
      <c r="V142" s="15"/>
      <c r="W142" s="15"/>
    </row>
    <row r="143">
      <c r="J143" s="15"/>
      <c r="V143" s="15"/>
      <c r="W143" s="15"/>
    </row>
    <row r="144">
      <c r="J144" s="15"/>
      <c r="V144" s="15"/>
      <c r="W144" s="15"/>
    </row>
    <row r="145">
      <c r="J145" s="15"/>
      <c r="V145" s="15"/>
      <c r="W145" s="15"/>
    </row>
    <row r="146">
      <c r="J146" s="15"/>
      <c r="V146" s="15"/>
      <c r="W146" s="15"/>
    </row>
    <row r="147">
      <c r="J147" s="15"/>
      <c r="V147" s="15"/>
      <c r="W147" s="15"/>
    </row>
    <row r="148">
      <c r="J148" s="15"/>
      <c r="V148" s="15"/>
      <c r="W148" s="15"/>
    </row>
    <row r="149">
      <c r="J149" s="15"/>
      <c r="V149" s="15"/>
      <c r="W149" s="15"/>
    </row>
    <row r="150">
      <c r="J150" s="15"/>
      <c r="V150" s="15"/>
      <c r="W150" s="15"/>
    </row>
    <row r="151">
      <c r="J151" s="15"/>
      <c r="V151" s="15"/>
      <c r="W151" s="15"/>
    </row>
    <row r="152">
      <c r="J152" s="15"/>
      <c r="V152" s="15"/>
      <c r="W152" s="15"/>
    </row>
    <row r="153">
      <c r="J153" s="15"/>
      <c r="V153" s="15"/>
      <c r="W153" s="15"/>
    </row>
    <row r="154">
      <c r="J154" s="15"/>
      <c r="V154" s="15"/>
      <c r="W154" s="15"/>
    </row>
    <row r="155">
      <c r="J155" s="15"/>
      <c r="V155" s="15"/>
      <c r="W155" s="15"/>
    </row>
    <row r="156">
      <c r="J156" s="15"/>
      <c r="V156" s="15"/>
      <c r="W156" s="15"/>
    </row>
    <row r="157">
      <c r="J157" s="15"/>
      <c r="V157" s="15"/>
      <c r="W157" s="15"/>
    </row>
    <row r="158">
      <c r="J158" s="15"/>
      <c r="V158" s="15"/>
      <c r="W158" s="15"/>
    </row>
    <row r="159">
      <c r="J159" s="15"/>
      <c r="V159" s="15"/>
      <c r="W159" s="15"/>
    </row>
    <row r="160">
      <c r="J160" s="15"/>
      <c r="V160" s="15"/>
      <c r="W160" s="15"/>
    </row>
    <row r="161">
      <c r="J161" s="15"/>
      <c r="V161" s="15"/>
      <c r="W161" s="15"/>
    </row>
    <row r="162">
      <c r="J162" s="15"/>
      <c r="V162" s="15"/>
      <c r="W162" s="15"/>
    </row>
    <row r="163">
      <c r="J163" s="15"/>
      <c r="V163" s="15"/>
      <c r="W163" s="15"/>
    </row>
    <row r="164">
      <c r="J164" s="15"/>
      <c r="V164" s="15"/>
      <c r="W164" s="15"/>
    </row>
    <row r="165">
      <c r="J165" s="15"/>
      <c r="V165" s="15"/>
      <c r="W165" s="15"/>
    </row>
    <row r="166">
      <c r="J166" s="15"/>
      <c r="V166" s="15"/>
      <c r="W166" s="15"/>
    </row>
    <row r="167">
      <c r="J167" s="15"/>
      <c r="V167" s="15"/>
      <c r="W167" s="15"/>
    </row>
    <row r="168">
      <c r="J168" s="15"/>
      <c r="V168" s="15"/>
      <c r="W168" s="15"/>
    </row>
    <row r="169">
      <c r="J169" s="15"/>
      <c r="V169" s="15"/>
      <c r="W169" s="15"/>
    </row>
    <row r="170">
      <c r="J170" s="15"/>
      <c r="V170" s="15"/>
      <c r="W170" s="15"/>
    </row>
    <row r="171">
      <c r="J171" s="15"/>
      <c r="V171" s="15"/>
      <c r="W171" s="15"/>
    </row>
    <row r="172">
      <c r="J172" s="15"/>
      <c r="V172" s="15"/>
      <c r="W172" s="15"/>
    </row>
    <row r="173">
      <c r="J173" s="15"/>
      <c r="V173" s="15"/>
      <c r="W173" s="15"/>
    </row>
    <row r="174">
      <c r="J174" s="15"/>
      <c r="V174" s="15"/>
      <c r="W174" s="15"/>
    </row>
    <row r="175">
      <c r="J175" s="15"/>
      <c r="V175" s="15"/>
      <c r="W175" s="15"/>
    </row>
    <row r="176">
      <c r="J176" s="15"/>
      <c r="V176" s="15"/>
      <c r="W176" s="15"/>
    </row>
    <row r="177">
      <c r="J177" s="15"/>
      <c r="V177" s="15"/>
      <c r="W177" s="15"/>
    </row>
    <row r="178">
      <c r="J178" s="15"/>
      <c r="V178" s="15"/>
      <c r="W178" s="15"/>
    </row>
    <row r="179">
      <c r="J179" s="15"/>
      <c r="V179" s="15"/>
      <c r="W179" s="15"/>
    </row>
    <row r="180">
      <c r="J180" s="15"/>
      <c r="V180" s="15"/>
      <c r="W180" s="15"/>
    </row>
    <row r="181">
      <c r="J181" s="15"/>
      <c r="V181" s="15"/>
      <c r="W181" s="15"/>
    </row>
    <row r="182">
      <c r="J182" s="15"/>
      <c r="V182" s="15"/>
      <c r="W182" s="15"/>
    </row>
    <row r="183">
      <c r="J183" s="15"/>
      <c r="V183" s="15"/>
      <c r="W183" s="15"/>
    </row>
    <row r="184">
      <c r="J184" s="15"/>
      <c r="V184" s="15"/>
      <c r="W184" s="15"/>
    </row>
    <row r="185">
      <c r="J185" s="15"/>
      <c r="V185" s="15"/>
      <c r="W185" s="15"/>
    </row>
    <row r="186">
      <c r="J186" s="15"/>
      <c r="V186" s="15"/>
      <c r="W186" s="15"/>
    </row>
    <row r="187">
      <c r="J187" s="15"/>
      <c r="V187" s="15"/>
      <c r="W187" s="15"/>
    </row>
    <row r="188">
      <c r="J188" s="15"/>
      <c r="V188" s="15"/>
      <c r="W188" s="15"/>
    </row>
    <row r="189">
      <c r="J189" s="15"/>
      <c r="V189" s="15"/>
      <c r="W189" s="15"/>
    </row>
    <row r="190">
      <c r="J190" s="15"/>
      <c r="V190" s="15"/>
      <c r="W190" s="15"/>
    </row>
    <row r="191">
      <c r="J191" s="15"/>
      <c r="V191" s="15"/>
      <c r="W191" s="15"/>
    </row>
    <row r="192">
      <c r="J192" s="15"/>
      <c r="V192" s="15"/>
      <c r="W192" s="15"/>
    </row>
    <row r="193">
      <c r="J193" s="15"/>
      <c r="V193" s="15"/>
      <c r="W193" s="15"/>
    </row>
    <row r="194">
      <c r="J194" s="15"/>
      <c r="V194" s="15"/>
      <c r="W194" s="15"/>
    </row>
    <row r="195">
      <c r="J195" s="15"/>
      <c r="V195" s="15"/>
      <c r="W195" s="15"/>
    </row>
    <row r="196">
      <c r="J196" s="15"/>
      <c r="V196" s="15"/>
      <c r="W196" s="15"/>
    </row>
    <row r="197">
      <c r="J197" s="15"/>
      <c r="V197" s="15"/>
      <c r="W197" s="15"/>
    </row>
    <row r="198">
      <c r="J198" s="15"/>
      <c r="V198" s="15"/>
      <c r="W198" s="15"/>
    </row>
    <row r="199">
      <c r="J199" s="15"/>
      <c r="V199" s="15"/>
      <c r="W199" s="15"/>
    </row>
    <row r="200">
      <c r="J200" s="15"/>
      <c r="V200" s="15"/>
      <c r="W200" s="15"/>
    </row>
    <row r="201">
      <c r="J201" s="15"/>
      <c r="V201" s="15"/>
      <c r="W201" s="15"/>
    </row>
    <row r="202">
      <c r="J202" s="15"/>
      <c r="V202" s="15"/>
      <c r="W202" s="15"/>
    </row>
    <row r="203">
      <c r="J203" s="15"/>
      <c r="V203" s="15"/>
      <c r="W203" s="15"/>
    </row>
    <row r="204">
      <c r="J204" s="15"/>
      <c r="V204" s="15"/>
      <c r="W204" s="15"/>
    </row>
    <row r="205">
      <c r="J205" s="15"/>
      <c r="V205" s="15"/>
      <c r="W205" s="15"/>
    </row>
    <row r="206">
      <c r="J206" s="15"/>
      <c r="V206" s="15"/>
      <c r="W206" s="15"/>
    </row>
    <row r="207">
      <c r="J207" s="15"/>
      <c r="V207" s="15"/>
      <c r="W207" s="15"/>
    </row>
    <row r="208">
      <c r="J208" s="15"/>
      <c r="V208" s="15"/>
      <c r="W208" s="15"/>
    </row>
    <row r="209">
      <c r="J209" s="15"/>
      <c r="V209" s="15"/>
      <c r="W209" s="15"/>
    </row>
    <row r="210">
      <c r="J210" s="15"/>
      <c r="V210" s="15"/>
      <c r="W210" s="15"/>
    </row>
    <row r="211">
      <c r="J211" s="15"/>
      <c r="V211" s="15"/>
      <c r="W211" s="15"/>
    </row>
    <row r="212">
      <c r="J212" s="15"/>
      <c r="V212" s="15"/>
      <c r="W212" s="15"/>
    </row>
    <row r="213">
      <c r="J213" s="15"/>
      <c r="V213" s="15"/>
      <c r="W213" s="15"/>
    </row>
    <row r="214">
      <c r="J214" s="15"/>
      <c r="V214" s="15"/>
      <c r="W214" s="15"/>
    </row>
    <row r="215">
      <c r="J215" s="15"/>
      <c r="V215" s="15"/>
      <c r="W215" s="15"/>
    </row>
    <row r="216">
      <c r="J216" s="15"/>
      <c r="V216" s="15"/>
      <c r="W216" s="15"/>
    </row>
    <row r="217">
      <c r="J217" s="15"/>
      <c r="V217" s="15"/>
      <c r="W217" s="15"/>
    </row>
    <row r="218">
      <c r="J218" s="15"/>
      <c r="V218" s="15"/>
      <c r="W218" s="15"/>
    </row>
    <row r="219">
      <c r="J219" s="15"/>
      <c r="V219" s="15"/>
      <c r="W219" s="15"/>
    </row>
    <row r="220">
      <c r="J220" s="15"/>
      <c r="V220" s="15"/>
      <c r="W220" s="15"/>
    </row>
    <row r="221">
      <c r="J221" s="15"/>
      <c r="V221" s="15"/>
      <c r="W221" s="15"/>
    </row>
    <row r="222">
      <c r="J222" s="15"/>
      <c r="V222" s="15"/>
      <c r="W222" s="15"/>
    </row>
    <row r="223">
      <c r="J223" s="15"/>
      <c r="V223" s="15"/>
      <c r="W223" s="15"/>
    </row>
    <row r="224">
      <c r="J224" s="15"/>
      <c r="V224" s="15"/>
      <c r="W224" s="15"/>
    </row>
    <row r="225">
      <c r="J225" s="15"/>
      <c r="V225" s="15"/>
      <c r="W225" s="15"/>
    </row>
    <row r="226">
      <c r="J226" s="15"/>
      <c r="V226" s="15"/>
      <c r="W226" s="15"/>
    </row>
    <row r="227">
      <c r="J227" s="15"/>
      <c r="V227" s="15"/>
      <c r="W227" s="15"/>
    </row>
    <row r="228">
      <c r="J228" s="15"/>
      <c r="V228" s="15"/>
      <c r="W228" s="15"/>
    </row>
    <row r="229">
      <c r="J229" s="15"/>
      <c r="V229" s="15"/>
      <c r="W229" s="15"/>
    </row>
    <row r="230">
      <c r="J230" s="15"/>
      <c r="V230" s="15"/>
      <c r="W230" s="15"/>
    </row>
    <row r="231">
      <c r="J231" s="15"/>
      <c r="V231" s="15"/>
      <c r="W231" s="15"/>
    </row>
    <row r="232">
      <c r="J232" s="15"/>
      <c r="V232" s="15"/>
      <c r="W232" s="15"/>
    </row>
    <row r="233">
      <c r="J233" s="15"/>
      <c r="V233" s="15"/>
      <c r="W233" s="15"/>
    </row>
    <row r="234">
      <c r="J234" s="15"/>
      <c r="V234" s="15"/>
      <c r="W234" s="15"/>
    </row>
    <row r="235">
      <c r="J235" s="15"/>
      <c r="V235" s="15"/>
      <c r="W235" s="15"/>
    </row>
    <row r="236">
      <c r="J236" s="15"/>
      <c r="V236" s="15"/>
      <c r="W236" s="15"/>
    </row>
    <row r="237">
      <c r="J237" s="15"/>
      <c r="V237" s="15"/>
      <c r="W237" s="15"/>
    </row>
    <row r="238">
      <c r="J238" s="15"/>
      <c r="V238" s="15"/>
      <c r="W238" s="15"/>
    </row>
    <row r="239">
      <c r="J239" s="15"/>
      <c r="V239" s="15"/>
      <c r="W239" s="15"/>
    </row>
    <row r="240">
      <c r="J240" s="15"/>
      <c r="V240" s="15"/>
      <c r="W240" s="15"/>
    </row>
    <row r="241">
      <c r="J241" s="15"/>
      <c r="V241" s="15"/>
      <c r="W241" s="15"/>
    </row>
    <row r="242">
      <c r="J242" s="15"/>
      <c r="V242" s="15"/>
      <c r="W242" s="15"/>
    </row>
    <row r="243">
      <c r="J243" s="15"/>
      <c r="V243" s="15"/>
      <c r="W243" s="15"/>
    </row>
    <row r="244">
      <c r="J244" s="15"/>
      <c r="V244" s="15"/>
      <c r="W244" s="15"/>
    </row>
    <row r="245">
      <c r="J245" s="15"/>
      <c r="V245" s="15"/>
      <c r="W245" s="15"/>
    </row>
    <row r="246">
      <c r="J246" s="15"/>
      <c r="V246" s="15"/>
      <c r="W246" s="15"/>
    </row>
    <row r="247">
      <c r="J247" s="15"/>
      <c r="V247" s="15"/>
      <c r="W247" s="15"/>
    </row>
    <row r="248">
      <c r="J248" s="15"/>
      <c r="V248" s="15"/>
      <c r="W248" s="15"/>
    </row>
    <row r="249">
      <c r="J249" s="15"/>
      <c r="V249" s="15"/>
      <c r="W249" s="15"/>
    </row>
    <row r="250">
      <c r="J250" s="15"/>
      <c r="V250" s="15"/>
      <c r="W250" s="15"/>
    </row>
    <row r="251">
      <c r="J251" s="15"/>
      <c r="V251" s="15"/>
      <c r="W251" s="15"/>
    </row>
    <row r="252">
      <c r="J252" s="15"/>
      <c r="V252" s="15"/>
      <c r="W252" s="15"/>
    </row>
    <row r="253">
      <c r="J253" s="15"/>
      <c r="V253" s="15"/>
      <c r="W253" s="15"/>
    </row>
    <row r="254">
      <c r="J254" s="15"/>
      <c r="V254" s="15"/>
      <c r="W254" s="15"/>
    </row>
    <row r="255">
      <c r="J255" s="15"/>
      <c r="V255" s="15"/>
      <c r="W255" s="15"/>
    </row>
    <row r="256">
      <c r="J256" s="15"/>
      <c r="V256" s="15"/>
      <c r="W256" s="15"/>
    </row>
    <row r="257">
      <c r="J257" s="15"/>
      <c r="V257" s="15"/>
      <c r="W257" s="15"/>
    </row>
    <row r="258">
      <c r="J258" s="15"/>
      <c r="V258" s="15"/>
      <c r="W258" s="15"/>
    </row>
    <row r="259">
      <c r="J259" s="15"/>
      <c r="V259" s="15"/>
      <c r="W259" s="15"/>
    </row>
    <row r="260">
      <c r="J260" s="15"/>
      <c r="V260" s="15"/>
      <c r="W260" s="15"/>
    </row>
    <row r="261">
      <c r="J261" s="15"/>
      <c r="V261" s="15"/>
      <c r="W261" s="15"/>
    </row>
    <row r="262">
      <c r="J262" s="15"/>
      <c r="V262" s="15"/>
      <c r="W262" s="15"/>
    </row>
    <row r="263">
      <c r="J263" s="15"/>
      <c r="V263" s="15"/>
      <c r="W263" s="15"/>
    </row>
    <row r="264">
      <c r="J264" s="15"/>
      <c r="V264" s="15"/>
      <c r="W264" s="15"/>
    </row>
    <row r="265">
      <c r="J265" s="15"/>
      <c r="V265" s="15"/>
      <c r="W265" s="15"/>
    </row>
    <row r="266">
      <c r="J266" s="15"/>
      <c r="V266" s="15"/>
      <c r="W266" s="15"/>
    </row>
    <row r="267">
      <c r="J267" s="15"/>
      <c r="V267" s="15"/>
      <c r="W267" s="15"/>
    </row>
    <row r="268">
      <c r="J268" s="15"/>
      <c r="V268" s="15"/>
      <c r="W268" s="15"/>
    </row>
    <row r="269">
      <c r="J269" s="15"/>
      <c r="V269" s="15"/>
      <c r="W269" s="15"/>
    </row>
    <row r="270">
      <c r="J270" s="15"/>
      <c r="V270" s="15"/>
      <c r="W270" s="15"/>
    </row>
    <row r="271">
      <c r="J271" s="15"/>
      <c r="V271" s="15"/>
      <c r="W271" s="15"/>
    </row>
    <row r="272">
      <c r="J272" s="15"/>
      <c r="V272" s="15"/>
      <c r="W272" s="15"/>
    </row>
    <row r="273">
      <c r="J273" s="15"/>
      <c r="V273" s="15"/>
      <c r="W273" s="15"/>
    </row>
    <row r="274">
      <c r="J274" s="15"/>
      <c r="V274" s="15"/>
      <c r="W274" s="15"/>
    </row>
    <row r="275">
      <c r="J275" s="15"/>
      <c r="V275" s="15"/>
      <c r="W275" s="15"/>
    </row>
    <row r="276">
      <c r="J276" s="15"/>
      <c r="V276" s="15"/>
      <c r="W276" s="15"/>
    </row>
    <row r="277">
      <c r="J277" s="15"/>
      <c r="V277" s="15"/>
      <c r="W277" s="15"/>
    </row>
    <row r="278">
      <c r="J278" s="15"/>
      <c r="V278" s="15"/>
      <c r="W278" s="15"/>
    </row>
    <row r="279">
      <c r="J279" s="15"/>
      <c r="V279" s="15"/>
      <c r="W279" s="15"/>
    </row>
    <row r="280">
      <c r="J280" s="15"/>
      <c r="V280" s="15"/>
      <c r="W280" s="15"/>
    </row>
    <row r="281">
      <c r="J281" s="15"/>
      <c r="V281" s="15"/>
      <c r="W281" s="15"/>
    </row>
    <row r="282">
      <c r="J282" s="15"/>
      <c r="V282" s="15"/>
      <c r="W282" s="15"/>
    </row>
    <row r="283">
      <c r="J283" s="15"/>
      <c r="V283" s="15"/>
      <c r="W283" s="15"/>
    </row>
    <row r="284">
      <c r="J284" s="15"/>
      <c r="V284" s="15"/>
      <c r="W284" s="15"/>
    </row>
    <row r="285">
      <c r="J285" s="15"/>
      <c r="V285" s="15"/>
      <c r="W285" s="15"/>
    </row>
    <row r="286">
      <c r="J286" s="15"/>
      <c r="V286" s="15"/>
      <c r="W286" s="15"/>
    </row>
    <row r="287">
      <c r="J287" s="15"/>
      <c r="V287" s="15"/>
      <c r="W287" s="15"/>
    </row>
    <row r="288">
      <c r="J288" s="15"/>
      <c r="V288" s="15"/>
      <c r="W288" s="15"/>
    </row>
    <row r="289">
      <c r="J289" s="15"/>
      <c r="V289" s="15"/>
      <c r="W289" s="15"/>
    </row>
    <row r="290">
      <c r="J290" s="15"/>
      <c r="V290" s="15"/>
      <c r="W290" s="15"/>
    </row>
    <row r="291">
      <c r="J291" s="15"/>
      <c r="V291" s="15"/>
      <c r="W291" s="15"/>
    </row>
    <row r="292">
      <c r="J292" s="15"/>
      <c r="V292" s="15"/>
      <c r="W292" s="15"/>
    </row>
    <row r="293">
      <c r="J293" s="15"/>
      <c r="V293" s="15"/>
      <c r="W293" s="15"/>
    </row>
    <row r="294">
      <c r="J294" s="15"/>
      <c r="V294" s="15"/>
      <c r="W294" s="15"/>
    </row>
    <row r="295">
      <c r="J295" s="15"/>
      <c r="V295" s="15"/>
      <c r="W295" s="15"/>
    </row>
    <row r="296">
      <c r="J296" s="15"/>
      <c r="V296" s="15"/>
      <c r="W296" s="15"/>
    </row>
    <row r="297">
      <c r="J297" s="15"/>
      <c r="V297" s="15"/>
      <c r="W297" s="15"/>
    </row>
    <row r="298">
      <c r="J298" s="15"/>
      <c r="V298" s="15"/>
      <c r="W298" s="15"/>
    </row>
    <row r="299">
      <c r="J299" s="15"/>
      <c r="V299" s="15"/>
      <c r="W299" s="15"/>
    </row>
    <row r="300">
      <c r="J300" s="15"/>
      <c r="V300" s="15"/>
      <c r="W300" s="15"/>
    </row>
    <row r="301">
      <c r="J301" s="15"/>
      <c r="V301" s="15"/>
      <c r="W301" s="15"/>
    </row>
    <row r="302">
      <c r="J302" s="15"/>
      <c r="V302" s="15"/>
      <c r="W302" s="15"/>
    </row>
    <row r="303">
      <c r="J303" s="15"/>
      <c r="V303" s="15"/>
      <c r="W303" s="15"/>
    </row>
    <row r="304">
      <c r="J304" s="15"/>
      <c r="V304" s="15"/>
      <c r="W304" s="15"/>
    </row>
    <row r="305">
      <c r="J305" s="15"/>
      <c r="V305" s="15"/>
      <c r="W305" s="15"/>
    </row>
    <row r="306">
      <c r="J306" s="15"/>
      <c r="V306" s="15"/>
      <c r="W306" s="15"/>
    </row>
    <row r="307">
      <c r="J307" s="15"/>
      <c r="V307" s="15"/>
      <c r="W307" s="15"/>
    </row>
    <row r="308">
      <c r="J308" s="15"/>
      <c r="V308" s="15"/>
      <c r="W308" s="15"/>
    </row>
    <row r="309">
      <c r="J309" s="15"/>
      <c r="V309" s="15"/>
      <c r="W309" s="15"/>
    </row>
    <row r="310">
      <c r="J310" s="15"/>
      <c r="V310" s="15"/>
      <c r="W310" s="15"/>
    </row>
    <row r="311">
      <c r="J311" s="15"/>
      <c r="V311" s="15"/>
      <c r="W311" s="15"/>
    </row>
    <row r="312">
      <c r="J312" s="15"/>
      <c r="V312" s="15"/>
      <c r="W312" s="15"/>
    </row>
    <row r="313">
      <c r="J313" s="15"/>
      <c r="V313" s="15"/>
      <c r="W313" s="15"/>
    </row>
    <row r="314">
      <c r="J314" s="15"/>
      <c r="V314" s="15"/>
      <c r="W314" s="15"/>
    </row>
    <row r="315">
      <c r="J315" s="15"/>
      <c r="V315" s="15"/>
      <c r="W315" s="15"/>
    </row>
    <row r="316">
      <c r="J316" s="15"/>
      <c r="V316" s="15"/>
      <c r="W316" s="15"/>
    </row>
    <row r="317">
      <c r="J317" s="15"/>
      <c r="V317" s="15"/>
      <c r="W317" s="15"/>
    </row>
    <row r="318">
      <c r="J318" s="15"/>
      <c r="V318" s="15"/>
      <c r="W318" s="15"/>
    </row>
    <row r="319">
      <c r="J319" s="15"/>
      <c r="V319" s="15"/>
      <c r="W319" s="15"/>
    </row>
    <row r="320">
      <c r="J320" s="15"/>
      <c r="V320" s="15"/>
      <c r="W320" s="15"/>
    </row>
    <row r="321">
      <c r="J321" s="15"/>
      <c r="V321" s="15"/>
      <c r="W321" s="15"/>
    </row>
    <row r="322">
      <c r="J322" s="15"/>
      <c r="V322" s="15"/>
      <c r="W322" s="15"/>
    </row>
    <row r="323">
      <c r="J323" s="15"/>
      <c r="V323" s="15"/>
      <c r="W323" s="15"/>
    </row>
    <row r="324">
      <c r="J324" s="15"/>
      <c r="V324" s="15"/>
      <c r="W324" s="15"/>
    </row>
    <row r="325">
      <c r="J325" s="15"/>
      <c r="V325" s="15"/>
      <c r="W325" s="15"/>
    </row>
    <row r="326">
      <c r="J326" s="15"/>
      <c r="V326" s="15"/>
      <c r="W326" s="15"/>
    </row>
    <row r="327">
      <c r="J327" s="15"/>
      <c r="V327" s="15"/>
      <c r="W327" s="15"/>
    </row>
    <row r="328">
      <c r="J328" s="15"/>
      <c r="V328" s="15"/>
      <c r="W328" s="15"/>
    </row>
    <row r="329">
      <c r="J329" s="15"/>
      <c r="V329" s="15"/>
      <c r="W329" s="15"/>
    </row>
    <row r="330">
      <c r="J330" s="15"/>
      <c r="V330" s="15"/>
      <c r="W330" s="15"/>
    </row>
    <row r="331">
      <c r="J331" s="15"/>
      <c r="V331" s="15"/>
      <c r="W331" s="15"/>
    </row>
    <row r="332">
      <c r="J332" s="15"/>
      <c r="V332" s="15"/>
      <c r="W332" s="15"/>
    </row>
    <row r="333">
      <c r="J333" s="15"/>
      <c r="V333" s="15"/>
      <c r="W333" s="15"/>
    </row>
    <row r="334">
      <c r="J334" s="15"/>
      <c r="V334" s="15"/>
      <c r="W334" s="15"/>
    </row>
    <row r="335">
      <c r="J335" s="15"/>
      <c r="V335" s="15"/>
      <c r="W335" s="15"/>
    </row>
    <row r="336">
      <c r="J336" s="15"/>
      <c r="V336" s="15"/>
      <c r="W336" s="15"/>
    </row>
    <row r="337">
      <c r="J337" s="15"/>
      <c r="V337" s="15"/>
      <c r="W337" s="15"/>
    </row>
    <row r="338">
      <c r="J338" s="15"/>
      <c r="V338" s="15"/>
      <c r="W338" s="15"/>
    </row>
    <row r="339">
      <c r="J339" s="15"/>
      <c r="V339" s="15"/>
      <c r="W339" s="15"/>
    </row>
    <row r="340">
      <c r="J340" s="15"/>
      <c r="V340" s="15"/>
      <c r="W340" s="15"/>
    </row>
    <row r="341">
      <c r="J341" s="15"/>
      <c r="V341" s="15"/>
      <c r="W341" s="15"/>
    </row>
    <row r="342">
      <c r="J342" s="15"/>
      <c r="V342" s="15"/>
      <c r="W342" s="15"/>
    </row>
    <row r="343">
      <c r="J343" s="15"/>
      <c r="V343" s="15"/>
      <c r="W343" s="15"/>
    </row>
    <row r="344">
      <c r="J344" s="15"/>
      <c r="V344" s="15"/>
      <c r="W344" s="15"/>
    </row>
    <row r="345">
      <c r="J345" s="15"/>
      <c r="V345" s="15"/>
      <c r="W345" s="15"/>
    </row>
    <row r="346">
      <c r="J346" s="15"/>
      <c r="V346" s="15"/>
      <c r="W346" s="15"/>
    </row>
    <row r="347">
      <c r="J347" s="15"/>
      <c r="V347" s="15"/>
      <c r="W347" s="15"/>
    </row>
    <row r="348">
      <c r="J348" s="15"/>
      <c r="V348" s="15"/>
      <c r="W348" s="15"/>
    </row>
    <row r="349">
      <c r="J349" s="15"/>
      <c r="V349" s="15"/>
      <c r="W349" s="15"/>
    </row>
    <row r="350">
      <c r="J350" s="15"/>
      <c r="V350" s="15"/>
      <c r="W350" s="15"/>
    </row>
    <row r="351">
      <c r="J351" s="15"/>
      <c r="V351" s="15"/>
      <c r="W351" s="15"/>
    </row>
    <row r="352">
      <c r="J352" s="15"/>
      <c r="V352" s="15"/>
      <c r="W352" s="15"/>
    </row>
    <row r="353">
      <c r="J353" s="15"/>
      <c r="V353" s="15"/>
      <c r="W353" s="15"/>
    </row>
    <row r="354">
      <c r="J354" s="15"/>
      <c r="V354" s="15"/>
      <c r="W354" s="15"/>
    </row>
    <row r="355">
      <c r="J355" s="15"/>
      <c r="V355" s="15"/>
      <c r="W355" s="15"/>
    </row>
    <row r="356">
      <c r="J356" s="15"/>
      <c r="V356" s="15"/>
      <c r="W356" s="15"/>
    </row>
    <row r="357">
      <c r="J357" s="15"/>
      <c r="V357" s="15"/>
      <c r="W357" s="15"/>
    </row>
    <row r="358">
      <c r="J358" s="15"/>
      <c r="V358" s="15"/>
      <c r="W358" s="15"/>
    </row>
    <row r="359">
      <c r="J359" s="15"/>
      <c r="V359" s="15"/>
      <c r="W359" s="15"/>
    </row>
    <row r="360">
      <c r="J360" s="15"/>
      <c r="V360" s="15"/>
      <c r="W360" s="15"/>
    </row>
    <row r="361">
      <c r="J361" s="15"/>
      <c r="V361" s="15"/>
      <c r="W361" s="15"/>
    </row>
    <row r="362">
      <c r="J362" s="15"/>
      <c r="V362" s="15"/>
      <c r="W362" s="15"/>
    </row>
    <row r="363">
      <c r="J363" s="15"/>
      <c r="V363" s="15"/>
      <c r="W363" s="15"/>
    </row>
    <row r="364">
      <c r="J364" s="15"/>
      <c r="V364" s="15"/>
      <c r="W364" s="15"/>
    </row>
    <row r="365">
      <c r="J365" s="15"/>
      <c r="V365" s="15"/>
      <c r="W365" s="15"/>
    </row>
    <row r="366">
      <c r="J366" s="15"/>
      <c r="V366" s="15"/>
      <c r="W366" s="15"/>
    </row>
    <row r="367">
      <c r="J367" s="15"/>
      <c r="V367" s="15"/>
      <c r="W367" s="15"/>
    </row>
    <row r="368">
      <c r="J368" s="15"/>
      <c r="V368" s="15"/>
      <c r="W368" s="15"/>
    </row>
    <row r="369">
      <c r="J369" s="15"/>
      <c r="V369" s="15"/>
      <c r="W369" s="15"/>
    </row>
    <row r="370">
      <c r="J370" s="15"/>
      <c r="V370" s="15"/>
      <c r="W370" s="15"/>
    </row>
    <row r="371">
      <c r="J371" s="15"/>
      <c r="V371" s="15"/>
      <c r="W371" s="15"/>
    </row>
    <row r="372">
      <c r="J372" s="15"/>
      <c r="V372" s="15"/>
      <c r="W372" s="15"/>
    </row>
    <row r="373">
      <c r="J373" s="15"/>
      <c r="V373" s="15"/>
      <c r="W373" s="15"/>
    </row>
    <row r="374">
      <c r="J374" s="15"/>
      <c r="V374" s="15"/>
      <c r="W374" s="15"/>
    </row>
    <row r="375">
      <c r="J375" s="15"/>
      <c r="V375" s="15"/>
      <c r="W375" s="15"/>
    </row>
    <row r="376">
      <c r="J376" s="15"/>
      <c r="V376" s="15"/>
      <c r="W376" s="15"/>
    </row>
    <row r="377">
      <c r="J377" s="15"/>
      <c r="V377" s="15"/>
      <c r="W377" s="15"/>
    </row>
    <row r="378">
      <c r="J378" s="15"/>
      <c r="V378" s="15"/>
      <c r="W378" s="15"/>
    </row>
    <row r="379">
      <c r="J379" s="15"/>
      <c r="V379" s="15"/>
      <c r="W379" s="15"/>
    </row>
    <row r="380">
      <c r="J380" s="15"/>
      <c r="V380" s="15"/>
      <c r="W380" s="15"/>
    </row>
    <row r="381">
      <c r="J381" s="15"/>
      <c r="V381" s="15"/>
      <c r="W381" s="15"/>
    </row>
    <row r="382">
      <c r="J382" s="15"/>
      <c r="V382" s="15"/>
      <c r="W382" s="15"/>
    </row>
    <row r="383">
      <c r="J383" s="15"/>
      <c r="V383" s="15"/>
      <c r="W383" s="15"/>
    </row>
    <row r="384">
      <c r="J384" s="15"/>
      <c r="V384" s="15"/>
      <c r="W384" s="15"/>
    </row>
    <row r="385">
      <c r="J385" s="15"/>
      <c r="V385" s="15"/>
      <c r="W385" s="15"/>
    </row>
    <row r="386">
      <c r="J386" s="15"/>
      <c r="V386" s="15"/>
      <c r="W386" s="15"/>
    </row>
    <row r="387">
      <c r="J387" s="15"/>
      <c r="V387" s="15"/>
      <c r="W387" s="15"/>
    </row>
    <row r="388">
      <c r="J388" s="15"/>
      <c r="V388" s="15"/>
      <c r="W388" s="15"/>
    </row>
    <row r="389">
      <c r="J389" s="15"/>
      <c r="V389" s="15"/>
      <c r="W389" s="15"/>
    </row>
    <row r="390">
      <c r="J390" s="15"/>
      <c r="V390" s="15"/>
      <c r="W390" s="15"/>
    </row>
    <row r="391">
      <c r="J391" s="15"/>
      <c r="V391" s="15"/>
      <c r="W391" s="15"/>
    </row>
    <row r="392">
      <c r="J392" s="15"/>
      <c r="V392" s="15"/>
      <c r="W392" s="15"/>
    </row>
    <row r="393">
      <c r="J393" s="15"/>
      <c r="V393" s="15"/>
      <c r="W393" s="15"/>
    </row>
    <row r="394">
      <c r="J394" s="15"/>
      <c r="V394" s="15"/>
      <c r="W394" s="15"/>
    </row>
    <row r="395">
      <c r="J395" s="15"/>
      <c r="V395" s="15"/>
      <c r="W395" s="15"/>
    </row>
    <row r="396">
      <c r="J396" s="15"/>
      <c r="V396" s="15"/>
      <c r="W396" s="15"/>
    </row>
    <row r="397">
      <c r="J397" s="15"/>
      <c r="V397" s="15"/>
      <c r="W397" s="15"/>
    </row>
    <row r="398">
      <c r="J398" s="15"/>
      <c r="V398" s="15"/>
      <c r="W398" s="15"/>
    </row>
    <row r="399">
      <c r="J399" s="15"/>
      <c r="V399" s="15"/>
      <c r="W399" s="15"/>
    </row>
    <row r="400">
      <c r="J400" s="15"/>
      <c r="V400" s="15"/>
      <c r="W400" s="15"/>
    </row>
    <row r="401">
      <c r="J401" s="15"/>
      <c r="V401" s="15"/>
      <c r="W401" s="15"/>
    </row>
    <row r="402">
      <c r="J402" s="15"/>
      <c r="V402" s="15"/>
      <c r="W402" s="15"/>
    </row>
    <row r="403">
      <c r="J403" s="15"/>
      <c r="V403" s="15"/>
      <c r="W403" s="15"/>
    </row>
    <row r="404">
      <c r="J404" s="15"/>
      <c r="V404" s="15"/>
      <c r="W404" s="15"/>
    </row>
    <row r="405">
      <c r="J405" s="15"/>
      <c r="V405" s="15"/>
      <c r="W405" s="15"/>
    </row>
    <row r="406">
      <c r="J406" s="15"/>
      <c r="V406" s="15"/>
      <c r="W406" s="15"/>
    </row>
    <row r="407">
      <c r="J407" s="15"/>
      <c r="V407" s="15"/>
      <c r="W407" s="15"/>
    </row>
    <row r="408">
      <c r="J408" s="15"/>
      <c r="V408" s="15"/>
      <c r="W408" s="15"/>
    </row>
    <row r="409">
      <c r="J409" s="15"/>
      <c r="V409" s="15"/>
      <c r="W409" s="15"/>
    </row>
    <row r="410">
      <c r="J410" s="15"/>
      <c r="V410" s="15"/>
      <c r="W410" s="15"/>
    </row>
    <row r="411">
      <c r="J411" s="15"/>
      <c r="V411" s="15"/>
      <c r="W411" s="15"/>
    </row>
    <row r="412">
      <c r="J412" s="15"/>
      <c r="V412" s="15"/>
      <c r="W412" s="15"/>
    </row>
    <row r="413">
      <c r="J413" s="15"/>
      <c r="V413" s="15"/>
      <c r="W413" s="15"/>
    </row>
    <row r="414">
      <c r="J414" s="15"/>
      <c r="V414" s="15"/>
      <c r="W414" s="15"/>
    </row>
    <row r="415">
      <c r="J415" s="15"/>
      <c r="V415" s="15"/>
      <c r="W415" s="15"/>
    </row>
    <row r="416">
      <c r="J416" s="15"/>
      <c r="V416" s="15"/>
      <c r="W416" s="15"/>
    </row>
    <row r="417">
      <c r="J417" s="15"/>
      <c r="V417" s="15"/>
      <c r="W417" s="15"/>
    </row>
    <row r="418">
      <c r="J418" s="15"/>
      <c r="V418" s="15"/>
      <c r="W418" s="15"/>
    </row>
    <row r="419">
      <c r="J419" s="15"/>
      <c r="V419" s="15"/>
      <c r="W419" s="15"/>
    </row>
    <row r="420">
      <c r="J420" s="15"/>
      <c r="V420" s="15"/>
      <c r="W420" s="15"/>
    </row>
    <row r="421">
      <c r="J421" s="15"/>
      <c r="V421" s="15"/>
      <c r="W421" s="15"/>
    </row>
    <row r="422">
      <c r="J422" s="15"/>
      <c r="V422" s="15"/>
      <c r="W422" s="15"/>
    </row>
    <row r="423">
      <c r="J423" s="15"/>
      <c r="V423" s="15"/>
      <c r="W423" s="15"/>
    </row>
    <row r="424">
      <c r="J424" s="15"/>
      <c r="V424" s="15"/>
      <c r="W424" s="15"/>
    </row>
    <row r="425">
      <c r="J425" s="15"/>
      <c r="V425" s="15"/>
      <c r="W425" s="15"/>
    </row>
    <row r="426">
      <c r="J426" s="15"/>
      <c r="V426" s="15"/>
      <c r="W426" s="15"/>
    </row>
    <row r="427">
      <c r="J427" s="15"/>
      <c r="V427" s="15"/>
      <c r="W427" s="15"/>
    </row>
    <row r="428">
      <c r="J428" s="15"/>
      <c r="V428" s="15"/>
      <c r="W428" s="15"/>
    </row>
    <row r="429">
      <c r="J429" s="15"/>
      <c r="V429" s="15"/>
      <c r="W429" s="15"/>
    </row>
    <row r="430">
      <c r="J430" s="15"/>
      <c r="V430" s="15"/>
      <c r="W430" s="15"/>
    </row>
    <row r="431">
      <c r="J431" s="15"/>
      <c r="V431" s="15"/>
      <c r="W431" s="15"/>
    </row>
    <row r="432">
      <c r="J432" s="15"/>
      <c r="V432" s="15"/>
      <c r="W432" s="15"/>
    </row>
    <row r="433">
      <c r="J433" s="15"/>
      <c r="V433" s="15"/>
      <c r="W433" s="15"/>
    </row>
    <row r="434">
      <c r="J434" s="15"/>
      <c r="V434" s="15"/>
      <c r="W434" s="15"/>
    </row>
    <row r="435">
      <c r="J435" s="15"/>
      <c r="V435" s="15"/>
      <c r="W435" s="15"/>
    </row>
    <row r="436">
      <c r="J436" s="15"/>
      <c r="V436" s="15"/>
      <c r="W436" s="15"/>
    </row>
    <row r="437">
      <c r="J437" s="15"/>
      <c r="V437" s="15"/>
      <c r="W437" s="15"/>
    </row>
    <row r="438">
      <c r="J438" s="15"/>
      <c r="V438" s="15"/>
      <c r="W438" s="15"/>
    </row>
    <row r="439">
      <c r="J439" s="15"/>
      <c r="V439" s="15"/>
      <c r="W439" s="15"/>
    </row>
    <row r="440">
      <c r="J440" s="15"/>
      <c r="V440" s="15"/>
      <c r="W440" s="15"/>
    </row>
    <row r="441">
      <c r="J441" s="15"/>
      <c r="V441" s="15"/>
      <c r="W441" s="15"/>
    </row>
    <row r="442">
      <c r="J442" s="15"/>
      <c r="V442" s="15"/>
      <c r="W442" s="15"/>
    </row>
    <row r="443">
      <c r="J443" s="15"/>
      <c r="V443" s="15"/>
      <c r="W443" s="15"/>
    </row>
    <row r="444">
      <c r="J444" s="15"/>
      <c r="V444" s="15"/>
      <c r="W444" s="15"/>
    </row>
    <row r="445">
      <c r="J445" s="15"/>
      <c r="V445" s="15"/>
      <c r="W445" s="15"/>
    </row>
    <row r="446">
      <c r="J446" s="15"/>
      <c r="V446" s="15"/>
      <c r="W446" s="15"/>
    </row>
    <row r="447">
      <c r="J447" s="15"/>
      <c r="V447" s="15"/>
      <c r="W447" s="15"/>
    </row>
    <row r="448">
      <c r="J448" s="15"/>
      <c r="V448" s="15"/>
      <c r="W448" s="15"/>
    </row>
    <row r="449">
      <c r="J449" s="15"/>
      <c r="V449" s="15"/>
      <c r="W449" s="15"/>
    </row>
    <row r="450">
      <c r="J450" s="15"/>
      <c r="V450" s="15"/>
      <c r="W450" s="15"/>
    </row>
    <row r="451">
      <c r="J451" s="15"/>
      <c r="V451" s="15"/>
      <c r="W451" s="15"/>
    </row>
    <row r="452">
      <c r="J452" s="15"/>
      <c r="V452" s="15"/>
      <c r="W452" s="15"/>
    </row>
    <row r="453">
      <c r="J453" s="15"/>
      <c r="V453" s="15"/>
      <c r="W453" s="15"/>
    </row>
    <row r="454">
      <c r="J454" s="15"/>
      <c r="V454" s="15"/>
      <c r="W454" s="15"/>
    </row>
    <row r="455">
      <c r="J455" s="15"/>
      <c r="V455" s="15"/>
      <c r="W455" s="15"/>
    </row>
    <row r="456">
      <c r="J456" s="15"/>
      <c r="V456" s="15"/>
      <c r="W456" s="15"/>
    </row>
    <row r="457">
      <c r="J457" s="15"/>
      <c r="V457" s="15"/>
      <c r="W457" s="15"/>
    </row>
    <row r="458">
      <c r="J458" s="15"/>
      <c r="V458" s="15"/>
      <c r="W458" s="15"/>
    </row>
    <row r="459">
      <c r="J459" s="15"/>
      <c r="V459" s="15"/>
      <c r="W459" s="15"/>
    </row>
    <row r="460">
      <c r="J460" s="15"/>
      <c r="V460" s="15"/>
      <c r="W460" s="15"/>
    </row>
    <row r="461">
      <c r="J461" s="15"/>
      <c r="V461" s="15"/>
      <c r="W461" s="15"/>
    </row>
    <row r="462">
      <c r="J462" s="15"/>
      <c r="V462" s="15"/>
      <c r="W462" s="15"/>
    </row>
    <row r="463">
      <c r="J463" s="15"/>
      <c r="V463" s="15"/>
      <c r="W463" s="15"/>
    </row>
    <row r="464">
      <c r="J464" s="15"/>
      <c r="V464" s="15"/>
      <c r="W464" s="15"/>
    </row>
    <row r="465">
      <c r="J465" s="15"/>
      <c r="V465" s="15"/>
      <c r="W465" s="15"/>
    </row>
    <row r="466">
      <c r="J466" s="15"/>
      <c r="V466" s="15"/>
      <c r="W466" s="15"/>
    </row>
    <row r="467">
      <c r="J467" s="15"/>
      <c r="V467" s="15"/>
      <c r="W467" s="15"/>
    </row>
    <row r="468">
      <c r="J468" s="15"/>
      <c r="V468" s="15"/>
      <c r="W468" s="15"/>
    </row>
    <row r="469">
      <c r="J469" s="15"/>
      <c r="V469" s="15"/>
      <c r="W469" s="15"/>
    </row>
    <row r="470">
      <c r="J470" s="15"/>
      <c r="V470" s="15"/>
      <c r="W470" s="15"/>
    </row>
    <row r="471">
      <c r="J471" s="15"/>
      <c r="V471" s="15"/>
      <c r="W471" s="15"/>
    </row>
    <row r="472">
      <c r="J472" s="15"/>
      <c r="V472" s="15"/>
      <c r="W472" s="15"/>
    </row>
    <row r="473">
      <c r="J473" s="15"/>
      <c r="V473" s="15"/>
      <c r="W473" s="15"/>
    </row>
    <row r="474">
      <c r="J474" s="15"/>
      <c r="V474" s="15"/>
      <c r="W474" s="15"/>
    </row>
    <row r="475">
      <c r="J475" s="15"/>
      <c r="V475" s="15"/>
      <c r="W475" s="15"/>
    </row>
    <row r="476">
      <c r="J476" s="15"/>
      <c r="V476" s="15"/>
      <c r="W476" s="15"/>
    </row>
    <row r="477">
      <c r="J477" s="15"/>
      <c r="V477" s="15"/>
      <c r="W477" s="15"/>
    </row>
    <row r="478">
      <c r="J478" s="15"/>
      <c r="V478" s="15"/>
      <c r="W478" s="15"/>
    </row>
    <row r="479">
      <c r="J479" s="15"/>
      <c r="V479" s="15"/>
      <c r="W479" s="15"/>
    </row>
    <row r="480">
      <c r="J480" s="15"/>
      <c r="V480" s="15"/>
      <c r="W480" s="15"/>
    </row>
    <row r="481">
      <c r="J481" s="15"/>
      <c r="V481" s="15"/>
      <c r="W481" s="15"/>
    </row>
    <row r="482">
      <c r="J482" s="15"/>
      <c r="V482" s="15"/>
      <c r="W482" s="15"/>
    </row>
    <row r="483">
      <c r="J483" s="15"/>
      <c r="V483" s="15"/>
      <c r="W483" s="15"/>
    </row>
    <row r="484">
      <c r="J484" s="15"/>
      <c r="V484" s="15"/>
      <c r="W484" s="15"/>
    </row>
    <row r="485">
      <c r="J485" s="15"/>
      <c r="V485" s="15"/>
      <c r="W485" s="15"/>
    </row>
    <row r="486">
      <c r="J486" s="15"/>
      <c r="V486" s="15"/>
      <c r="W486" s="15"/>
    </row>
    <row r="487">
      <c r="J487" s="15"/>
      <c r="V487" s="15"/>
      <c r="W487" s="15"/>
    </row>
    <row r="488">
      <c r="J488" s="15"/>
      <c r="V488" s="15"/>
      <c r="W488" s="15"/>
    </row>
    <row r="489">
      <c r="J489" s="15"/>
      <c r="V489" s="15"/>
      <c r="W489" s="15"/>
    </row>
    <row r="490">
      <c r="J490" s="15"/>
      <c r="V490" s="15"/>
      <c r="W490" s="15"/>
    </row>
    <row r="491">
      <c r="J491" s="15"/>
      <c r="V491" s="15"/>
      <c r="W491" s="15"/>
    </row>
    <row r="492">
      <c r="J492" s="15"/>
      <c r="V492" s="15"/>
      <c r="W492" s="15"/>
    </row>
    <row r="493">
      <c r="J493" s="15"/>
      <c r="V493" s="15"/>
      <c r="W493" s="15"/>
    </row>
    <row r="494">
      <c r="J494" s="15"/>
      <c r="V494" s="15"/>
      <c r="W494" s="15"/>
    </row>
    <row r="495">
      <c r="J495" s="15"/>
      <c r="V495" s="15"/>
      <c r="W495" s="15"/>
    </row>
    <row r="496">
      <c r="J496" s="15"/>
      <c r="V496" s="15"/>
      <c r="W496" s="15"/>
    </row>
    <row r="497">
      <c r="J497" s="15"/>
      <c r="V497" s="15"/>
      <c r="W497" s="15"/>
    </row>
    <row r="498">
      <c r="J498" s="15"/>
      <c r="V498" s="15"/>
      <c r="W498" s="15"/>
    </row>
    <row r="499">
      <c r="J499" s="15"/>
      <c r="V499" s="15"/>
      <c r="W499" s="15"/>
    </row>
    <row r="500">
      <c r="J500" s="15"/>
      <c r="V500" s="15"/>
      <c r="W500" s="15"/>
    </row>
    <row r="501">
      <c r="J501" s="15"/>
      <c r="V501" s="15"/>
      <c r="W501" s="15"/>
    </row>
    <row r="502">
      <c r="J502" s="15"/>
      <c r="V502" s="15"/>
      <c r="W502" s="15"/>
    </row>
    <row r="503">
      <c r="J503" s="15"/>
      <c r="V503" s="15"/>
      <c r="W503" s="15"/>
    </row>
    <row r="504">
      <c r="J504" s="15"/>
      <c r="V504" s="15"/>
      <c r="W504" s="15"/>
    </row>
    <row r="505">
      <c r="J505" s="15"/>
      <c r="V505" s="15"/>
      <c r="W505" s="15"/>
    </row>
    <row r="506">
      <c r="J506" s="15"/>
      <c r="V506" s="15"/>
      <c r="W506" s="15"/>
    </row>
    <row r="507">
      <c r="J507" s="15"/>
      <c r="V507" s="15"/>
      <c r="W507" s="15"/>
    </row>
    <row r="508">
      <c r="J508" s="15"/>
      <c r="V508" s="15"/>
      <c r="W508" s="15"/>
    </row>
    <row r="509">
      <c r="J509" s="15"/>
      <c r="V509" s="15"/>
      <c r="W509" s="15"/>
    </row>
    <row r="510">
      <c r="J510" s="15"/>
      <c r="V510" s="15"/>
      <c r="W510" s="15"/>
    </row>
    <row r="511">
      <c r="J511" s="15"/>
      <c r="V511" s="15"/>
      <c r="W511" s="15"/>
    </row>
    <row r="512">
      <c r="J512" s="15"/>
      <c r="V512" s="15"/>
      <c r="W512" s="15"/>
    </row>
    <row r="513">
      <c r="J513" s="15"/>
      <c r="V513" s="15"/>
      <c r="W513" s="15"/>
    </row>
    <row r="514">
      <c r="J514" s="15"/>
      <c r="V514" s="15"/>
      <c r="W514" s="15"/>
    </row>
    <row r="515">
      <c r="J515" s="15"/>
      <c r="V515" s="15"/>
      <c r="W515" s="15"/>
    </row>
    <row r="516">
      <c r="J516" s="15"/>
      <c r="V516" s="15"/>
      <c r="W516" s="15"/>
    </row>
    <row r="517">
      <c r="J517" s="15"/>
      <c r="V517" s="15"/>
      <c r="W517" s="15"/>
    </row>
    <row r="518">
      <c r="J518" s="15"/>
      <c r="V518" s="15"/>
      <c r="W518" s="15"/>
    </row>
    <row r="519">
      <c r="J519" s="15"/>
      <c r="V519" s="15"/>
      <c r="W519" s="15"/>
    </row>
    <row r="520">
      <c r="J520" s="15"/>
      <c r="V520" s="15"/>
      <c r="W520" s="15"/>
    </row>
    <row r="521">
      <c r="J521" s="15"/>
      <c r="V521" s="15"/>
      <c r="W521" s="15"/>
    </row>
    <row r="522">
      <c r="J522" s="15"/>
      <c r="V522" s="15"/>
      <c r="W522" s="15"/>
    </row>
    <row r="523">
      <c r="J523" s="15"/>
      <c r="V523" s="15"/>
      <c r="W523" s="15"/>
    </row>
    <row r="524">
      <c r="J524" s="15"/>
      <c r="V524" s="15"/>
      <c r="W524" s="15"/>
    </row>
    <row r="525">
      <c r="J525" s="15"/>
      <c r="V525" s="15"/>
      <c r="W525" s="15"/>
    </row>
    <row r="526">
      <c r="J526" s="15"/>
      <c r="V526" s="15"/>
      <c r="W526" s="15"/>
    </row>
    <row r="527">
      <c r="J527" s="15"/>
      <c r="V527" s="15"/>
      <c r="W527" s="15"/>
    </row>
    <row r="528">
      <c r="J528" s="15"/>
      <c r="V528" s="15"/>
      <c r="W528" s="15"/>
    </row>
    <row r="529">
      <c r="J529" s="15"/>
      <c r="V529" s="15"/>
      <c r="W529" s="15"/>
    </row>
    <row r="530">
      <c r="J530" s="15"/>
      <c r="V530" s="15"/>
      <c r="W530" s="15"/>
    </row>
    <row r="531">
      <c r="J531" s="15"/>
      <c r="V531" s="15"/>
      <c r="W531" s="15"/>
    </row>
    <row r="532">
      <c r="J532" s="15"/>
      <c r="V532" s="15"/>
      <c r="W532" s="15"/>
    </row>
    <row r="533">
      <c r="J533" s="15"/>
      <c r="V533" s="15"/>
      <c r="W533" s="15"/>
    </row>
    <row r="534">
      <c r="J534" s="15"/>
      <c r="V534" s="15"/>
      <c r="W534" s="15"/>
    </row>
    <row r="535">
      <c r="J535" s="15"/>
      <c r="V535" s="15"/>
      <c r="W535" s="15"/>
    </row>
    <row r="536">
      <c r="J536" s="15"/>
      <c r="V536" s="15"/>
      <c r="W536" s="15"/>
    </row>
    <row r="537">
      <c r="J537" s="15"/>
      <c r="V537" s="15"/>
      <c r="W537" s="15"/>
    </row>
    <row r="538">
      <c r="J538" s="15"/>
      <c r="V538" s="15"/>
      <c r="W538" s="15"/>
    </row>
    <row r="539">
      <c r="J539" s="15"/>
      <c r="V539" s="15"/>
      <c r="W539" s="15"/>
    </row>
    <row r="540">
      <c r="J540" s="15"/>
      <c r="V540" s="15"/>
      <c r="W540" s="15"/>
    </row>
    <row r="541">
      <c r="J541" s="15"/>
      <c r="V541" s="15"/>
      <c r="W541" s="15"/>
    </row>
    <row r="542">
      <c r="J542" s="15"/>
      <c r="V542" s="15"/>
      <c r="W542" s="15"/>
    </row>
    <row r="543">
      <c r="J543" s="15"/>
      <c r="V543" s="15"/>
      <c r="W543" s="15"/>
    </row>
    <row r="544">
      <c r="J544" s="15"/>
      <c r="V544" s="15"/>
      <c r="W544" s="15"/>
    </row>
    <row r="545">
      <c r="J545" s="15"/>
      <c r="V545" s="15"/>
      <c r="W545" s="15"/>
    </row>
    <row r="546">
      <c r="J546" s="15"/>
      <c r="V546" s="15"/>
      <c r="W546" s="15"/>
    </row>
    <row r="547">
      <c r="J547" s="15"/>
      <c r="V547" s="15"/>
      <c r="W547" s="15"/>
    </row>
    <row r="548">
      <c r="J548" s="15"/>
      <c r="V548" s="15"/>
      <c r="W548" s="15"/>
    </row>
    <row r="549">
      <c r="J549" s="15"/>
      <c r="V549" s="15"/>
      <c r="W549" s="15"/>
    </row>
    <row r="550">
      <c r="J550" s="15"/>
      <c r="V550" s="15"/>
      <c r="W550" s="15"/>
    </row>
    <row r="551">
      <c r="J551" s="15"/>
      <c r="V551" s="15"/>
      <c r="W551" s="15"/>
    </row>
    <row r="552">
      <c r="J552" s="15"/>
      <c r="V552" s="15"/>
      <c r="W552" s="15"/>
    </row>
    <row r="553">
      <c r="J553" s="15"/>
      <c r="V553" s="15"/>
      <c r="W553" s="15"/>
    </row>
    <row r="554">
      <c r="J554" s="15"/>
      <c r="V554" s="15"/>
      <c r="W554" s="15"/>
    </row>
    <row r="555">
      <c r="J555" s="15"/>
      <c r="V555" s="15"/>
      <c r="W555" s="15"/>
    </row>
    <row r="556">
      <c r="J556" s="15"/>
      <c r="V556" s="15"/>
      <c r="W556" s="15"/>
    </row>
    <row r="557">
      <c r="J557" s="15"/>
      <c r="V557" s="15"/>
      <c r="W557" s="15"/>
    </row>
    <row r="558">
      <c r="J558" s="15"/>
      <c r="V558" s="15"/>
      <c r="W558" s="15"/>
    </row>
    <row r="559">
      <c r="J559" s="15"/>
      <c r="V559" s="15"/>
      <c r="W559" s="15"/>
    </row>
    <row r="560">
      <c r="J560" s="15"/>
      <c r="V560" s="15"/>
      <c r="W560" s="15"/>
    </row>
    <row r="561">
      <c r="J561" s="15"/>
      <c r="V561" s="15"/>
      <c r="W561" s="15"/>
    </row>
    <row r="562">
      <c r="J562" s="15"/>
      <c r="V562" s="15"/>
      <c r="W562" s="15"/>
    </row>
    <row r="563">
      <c r="J563" s="15"/>
      <c r="V563" s="15"/>
      <c r="W563" s="15"/>
    </row>
    <row r="564">
      <c r="J564" s="15"/>
      <c r="V564" s="15"/>
      <c r="W564" s="15"/>
    </row>
    <row r="565">
      <c r="J565" s="15"/>
      <c r="V565" s="15"/>
      <c r="W565" s="15"/>
    </row>
    <row r="566">
      <c r="J566" s="15"/>
      <c r="V566" s="15"/>
      <c r="W566" s="15"/>
    </row>
    <row r="567">
      <c r="J567" s="15"/>
      <c r="V567" s="15"/>
      <c r="W567" s="15"/>
    </row>
    <row r="568">
      <c r="J568" s="15"/>
      <c r="V568" s="15"/>
      <c r="W568" s="15"/>
    </row>
    <row r="569">
      <c r="J569" s="15"/>
      <c r="V569" s="15"/>
      <c r="W569" s="15"/>
    </row>
    <row r="570">
      <c r="J570" s="15"/>
      <c r="V570" s="15"/>
      <c r="W570" s="15"/>
    </row>
    <row r="571">
      <c r="J571" s="15"/>
      <c r="V571" s="15"/>
      <c r="W571" s="15"/>
    </row>
    <row r="572">
      <c r="J572" s="15"/>
      <c r="V572" s="15"/>
      <c r="W572" s="15"/>
    </row>
    <row r="573">
      <c r="J573" s="15"/>
      <c r="V573" s="15"/>
      <c r="W573" s="15"/>
    </row>
    <row r="574">
      <c r="J574" s="15"/>
      <c r="V574" s="15"/>
      <c r="W574" s="15"/>
    </row>
    <row r="575">
      <c r="J575" s="15"/>
      <c r="V575" s="15"/>
      <c r="W575" s="15"/>
    </row>
    <row r="576">
      <c r="J576" s="15"/>
      <c r="V576" s="15"/>
      <c r="W576" s="15"/>
    </row>
    <row r="577">
      <c r="J577" s="15"/>
      <c r="V577" s="15"/>
      <c r="W577" s="15"/>
    </row>
    <row r="578">
      <c r="J578" s="15"/>
      <c r="V578" s="15"/>
      <c r="W578" s="15"/>
    </row>
    <row r="579">
      <c r="J579" s="15"/>
      <c r="V579" s="15"/>
      <c r="W579" s="15"/>
    </row>
    <row r="580">
      <c r="J580" s="15"/>
      <c r="V580" s="15"/>
      <c r="W580" s="15"/>
    </row>
    <row r="581">
      <c r="J581" s="15"/>
      <c r="V581" s="15"/>
      <c r="W581" s="15"/>
    </row>
    <row r="582">
      <c r="J582" s="15"/>
      <c r="V582" s="15"/>
      <c r="W582" s="15"/>
    </row>
    <row r="583">
      <c r="J583" s="15"/>
      <c r="V583" s="15"/>
      <c r="W583" s="15"/>
    </row>
    <row r="584">
      <c r="J584" s="15"/>
      <c r="V584" s="15"/>
      <c r="W584" s="15"/>
    </row>
    <row r="585">
      <c r="J585" s="15"/>
      <c r="V585" s="15"/>
      <c r="W585" s="15"/>
    </row>
    <row r="586">
      <c r="J586" s="15"/>
      <c r="V586" s="15"/>
      <c r="W586" s="15"/>
    </row>
    <row r="587">
      <c r="J587" s="15"/>
      <c r="V587" s="15"/>
      <c r="W587" s="15"/>
    </row>
    <row r="588">
      <c r="J588" s="15"/>
      <c r="V588" s="15"/>
      <c r="W588" s="15"/>
    </row>
    <row r="589">
      <c r="J589" s="15"/>
      <c r="V589" s="15"/>
      <c r="W589" s="15"/>
    </row>
    <row r="590">
      <c r="J590" s="15"/>
      <c r="V590" s="15"/>
      <c r="W590" s="15"/>
    </row>
    <row r="591">
      <c r="J591" s="15"/>
      <c r="V591" s="15"/>
      <c r="W591" s="15"/>
    </row>
    <row r="592">
      <c r="J592" s="15"/>
      <c r="V592" s="15"/>
      <c r="W592" s="15"/>
    </row>
    <row r="593">
      <c r="J593" s="15"/>
      <c r="V593" s="15"/>
      <c r="W593" s="15"/>
    </row>
    <row r="594">
      <c r="J594" s="15"/>
      <c r="V594" s="15"/>
      <c r="W594" s="15"/>
    </row>
    <row r="595">
      <c r="J595" s="15"/>
      <c r="V595" s="15"/>
      <c r="W595" s="15"/>
    </row>
    <row r="596">
      <c r="J596" s="15"/>
      <c r="V596" s="15"/>
      <c r="W596" s="15"/>
    </row>
    <row r="597">
      <c r="J597" s="15"/>
      <c r="V597" s="15"/>
      <c r="W597" s="15"/>
    </row>
    <row r="598">
      <c r="J598" s="15"/>
      <c r="V598" s="15"/>
      <c r="W598" s="15"/>
    </row>
    <row r="599">
      <c r="J599" s="15"/>
      <c r="V599" s="15"/>
      <c r="W599" s="15"/>
    </row>
    <row r="600">
      <c r="J600" s="15"/>
      <c r="V600" s="15"/>
      <c r="W600" s="15"/>
    </row>
    <row r="601">
      <c r="J601" s="15"/>
      <c r="V601" s="15"/>
      <c r="W601" s="15"/>
    </row>
    <row r="602">
      <c r="J602" s="15"/>
      <c r="V602" s="15"/>
      <c r="W602" s="15"/>
    </row>
    <row r="603">
      <c r="J603" s="15"/>
      <c r="V603" s="15"/>
      <c r="W603" s="15"/>
    </row>
    <row r="604">
      <c r="J604" s="15"/>
      <c r="V604" s="15"/>
      <c r="W604" s="15"/>
    </row>
    <row r="605">
      <c r="J605" s="15"/>
      <c r="V605" s="15"/>
      <c r="W605" s="15"/>
    </row>
    <row r="606">
      <c r="J606" s="15"/>
      <c r="V606" s="15"/>
      <c r="W606" s="15"/>
    </row>
    <row r="607">
      <c r="J607" s="15"/>
      <c r="V607" s="15"/>
      <c r="W607" s="15"/>
    </row>
    <row r="608">
      <c r="J608" s="15"/>
      <c r="V608" s="15"/>
      <c r="W608" s="15"/>
    </row>
    <row r="609">
      <c r="J609" s="15"/>
      <c r="V609" s="15"/>
      <c r="W609" s="15"/>
    </row>
    <row r="610">
      <c r="J610" s="15"/>
      <c r="V610" s="15"/>
      <c r="W610" s="15"/>
    </row>
    <row r="611">
      <c r="J611" s="15"/>
      <c r="V611" s="15"/>
      <c r="W611" s="15"/>
    </row>
    <row r="612">
      <c r="J612" s="15"/>
      <c r="V612" s="15"/>
      <c r="W612" s="15"/>
    </row>
    <row r="613">
      <c r="J613" s="15"/>
      <c r="V613" s="15"/>
      <c r="W613" s="15"/>
    </row>
    <row r="614">
      <c r="J614" s="15"/>
      <c r="V614" s="15"/>
      <c r="W614" s="15"/>
    </row>
    <row r="615">
      <c r="J615" s="15"/>
      <c r="V615" s="15"/>
      <c r="W615" s="15"/>
    </row>
    <row r="616">
      <c r="J616" s="15"/>
      <c r="V616" s="15"/>
      <c r="W616" s="15"/>
    </row>
    <row r="617">
      <c r="J617" s="15"/>
      <c r="V617" s="15"/>
      <c r="W617" s="15"/>
    </row>
    <row r="618">
      <c r="J618" s="15"/>
      <c r="V618" s="15"/>
      <c r="W618" s="15"/>
    </row>
    <row r="619">
      <c r="J619" s="15"/>
      <c r="V619" s="15"/>
      <c r="W619" s="15"/>
    </row>
    <row r="620">
      <c r="J620" s="15"/>
      <c r="V620" s="15"/>
      <c r="W620" s="15"/>
    </row>
    <row r="621">
      <c r="J621" s="15"/>
      <c r="V621" s="15"/>
      <c r="W621" s="15"/>
    </row>
    <row r="622">
      <c r="J622" s="15"/>
      <c r="V622" s="15"/>
      <c r="W622" s="15"/>
    </row>
    <row r="623">
      <c r="J623" s="15"/>
      <c r="V623" s="15"/>
      <c r="W623" s="15"/>
    </row>
    <row r="624">
      <c r="J624" s="15"/>
      <c r="V624" s="15"/>
      <c r="W624" s="15"/>
    </row>
    <row r="625">
      <c r="J625" s="15"/>
      <c r="V625" s="15"/>
      <c r="W625" s="15"/>
    </row>
    <row r="626">
      <c r="J626" s="15"/>
      <c r="V626" s="15"/>
      <c r="W626" s="15"/>
    </row>
    <row r="627">
      <c r="J627" s="15"/>
      <c r="V627" s="15"/>
      <c r="W627" s="15"/>
    </row>
    <row r="628">
      <c r="J628" s="15"/>
      <c r="V628" s="15"/>
      <c r="W628" s="15"/>
    </row>
    <row r="629">
      <c r="J629" s="15"/>
      <c r="V629" s="15"/>
      <c r="W629" s="15"/>
    </row>
    <row r="630">
      <c r="J630" s="15"/>
      <c r="V630" s="15"/>
      <c r="W630" s="15"/>
    </row>
    <row r="631">
      <c r="J631" s="15"/>
      <c r="V631" s="15"/>
      <c r="W631" s="15"/>
    </row>
    <row r="632">
      <c r="J632" s="15"/>
      <c r="V632" s="15"/>
      <c r="W632" s="15"/>
    </row>
    <row r="633">
      <c r="J633" s="15"/>
      <c r="V633" s="15"/>
      <c r="W633" s="15"/>
    </row>
    <row r="634">
      <c r="J634" s="15"/>
      <c r="V634" s="15"/>
      <c r="W634" s="15"/>
    </row>
    <row r="635">
      <c r="J635" s="15"/>
      <c r="V635" s="15"/>
      <c r="W635" s="15"/>
    </row>
    <row r="636">
      <c r="J636" s="15"/>
      <c r="V636" s="15"/>
      <c r="W636" s="15"/>
    </row>
    <row r="637">
      <c r="J637" s="15"/>
      <c r="V637" s="15"/>
      <c r="W637" s="15"/>
    </row>
    <row r="638">
      <c r="J638" s="15"/>
      <c r="V638" s="15"/>
      <c r="W638" s="15"/>
    </row>
    <row r="639">
      <c r="J639" s="15"/>
      <c r="V639" s="15"/>
      <c r="W639" s="15"/>
    </row>
    <row r="640">
      <c r="J640" s="15"/>
      <c r="V640" s="15"/>
      <c r="W640" s="15"/>
    </row>
    <row r="641">
      <c r="J641" s="15"/>
      <c r="V641" s="15"/>
      <c r="W641" s="15"/>
    </row>
    <row r="642">
      <c r="J642" s="15"/>
      <c r="V642" s="15"/>
      <c r="W642" s="15"/>
    </row>
    <row r="643">
      <c r="J643" s="15"/>
      <c r="V643" s="15"/>
      <c r="W643" s="15"/>
    </row>
    <row r="644">
      <c r="J644" s="15"/>
      <c r="V644" s="15"/>
      <c r="W644" s="15"/>
    </row>
    <row r="645">
      <c r="J645" s="15"/>
      <c r="V645" s="15"/>
      <c r="W645" s="15"/>
    </row>
    <row r="646">
      <c r="J646" s="15"/>
      <c r="V646" s="15"/>
      <c r="W646" s="15"/>
    </row>
    <row r="647">
      <c r="J647" s="15"/>
      <c r="V647" s="15"/>
      <c r="W647" s="15"/>
    </row>
    <row r="648">
      <c r="J648" s="15"/>
      <c r="V648" s="15"/>
      <c r="W648" s="15"/>
    </row>
    <row r="649">
      <c r="J649" s="15"/>
      <c r="V649" s="15"/>
      <c r="W649" s="15"/>
    </row>
    <row r="650">
      <c r="J650" s="15"/>
      <c r="V650" s="15"/>
      <c r="W650" s="15"/>
    </row>
    <row r="651">
      <c r="J651" s="15"/>
      <c r="V651" s="15"/>
      <c r="W651" s="15"/>
    </row>
    <row r="652">
      <c r="J652" s="15"/>
      <c r="V652" s="15"/>
      <c r="W652" s="15"/>
    </row>
    <row r="653">
      <c r="J653" s="15"/>
      <c r="V653" s="15"/>
      <c r="W653" s="15"/>
    </row>
    <row r="654">
      <c r="J654" s="15"/>
      <c r="V654" s="15"/>
      <c r="W654" s="15"/>
    </row>
    <row r="655">
      <c r="J655" s="15"/>
      <c r="V655" s="15"/>
      <c r="W655" s="15"/>
    </row>
    <row r="656">
      <c r="J656" s="15"/>
      <c r="V656" s="15"/>
      <c r="W656" s="15"/>
    </row>
    <row r="657">
      <c r="J657" s="15"/>
      <c r="V657" s="15"/>
      <c r="W657" s="15"/>
    </row>
    <row r="658">
      <c r="J658" s="15"/>
      <c r="V658" s="15"/>
      <c r="W658" s="15"/>
    </row>
    <row r="659">
      <c r="J659" s="15"/>
      <c r="V659" s="15"/>
      <c r="W659" s="15"/>
    </row>
    <row r="660">
      <c r="J660" s="15"/>
      <c r="V660" s="15"/>
      <c r="W660" s="15"/>
    </row>
    <row r="661">
      <c r="J661" s="15"/>
      <c r="V661" s="15"/>
      <c r="W661" s="15"/>
    </row>
    <row r="662">
      <c r="J662" s="15"/>
      <c r="V662" s="15"/>
      <c r="W662" s="15"/>
    </row>
    <row r="663">
      <c r="J663" s="15"/>
      <c r="V663" s="15"/>
      <c r="W663" s="15"/>
    </row>
    <row r="664">
      <c r="J664" s="15"/>
      <c r="V664" s="15"/>
      <c r="W664" s="15"/>
    </row>
    <row r="665">
      <c r="J665" s="15"/>
      <c r="V665" s="15"/>
      <c r="W665" s="15"/>
    </row>
    <row r="666">
      <c r="J666" s="15"/>
      <c r="V666" s="15"/>
      <c r="W666" s="15"/>
    </row>
    <row r="667">
      <c r="J667" s="15"/>
      <c r="V667" s="15"/>
      <c r="W667" s="15"/>
    </row>
    <row r="668">
      <c r="J668" s="15"/>
      <c r="V668" s="15"/>
      <c r="W668" s="15"/>
    </row>
    <row r="669">
      <c r="J669" s="15"/>
      <c r="V669" s="15"/>
      <c r="W669" s="15"/>
    </row>
    <row r="670">
      <c r="J670" s="15"/>
      <c r="V670" s="15"/>
      <c r="W670" s="15"/>
    </row>
    <row r="671">
      <c r="J671" s="15"/>
      <c r="V671" s="15"/>
      <c r="W671" s="15"/>
    </row>
    <row r="672">
      <c r="J672" s="15"/>
      <c r="V672" s="15"/>
      <c r="W672" s="15"/>
    </row>
    <row r="673">
      <c r="J673" s="15"/>
      <c r="V673" s="15"/>
      <c r="W673" s="15"/>
    </row>
    <row r="674">
      <c r="J674" s="15"/>
      <c r="V674" s="15"/>
      <c r="W674" s="15"/>
    </row>
    <row r="675">
      <c r="J675" s="15"/>
      <c r="V675" s="15"/>
      <c r="W675" s="15"/>
    </row>
    <row r="676">
      <c r="J676" s="15"/>
      <c r="V676" s="15"/>
      <c r="W676" s="15"/>
    </row>
    <row r="677">
      <c r="J677" s="15"/>
      <c r="V677" s="15"/>
      <c r="W677" s="15"/>
    </row>
    <row r="678">
      <c r="J678" s="15"/>
      <c r="V678" s="15"/>
      <c r="W678" s="15"/>
    </row>
    <row r="679">
      <c r="J679" s="15"/>
      <c r="V679" s="15"/>
      <c r="W679" s="15"/>
    </row>
    <row r="680">
      <c r="J680" s="15"/>
      <c r="V680" s="15"/>
      <c r="W680" s="15"/>
    </row>
    <row r="681">
      <c r="J681" s="15"/>
      <c r="V681" s="15"/>
      <c r="W681" s="15"/>
    </row>
    <row r="682">
      <c r="J682" s="15"/>
      <c r="V682" s="15"/>
      <c r="W682" s="15"/>
    </row>
    <row r="683">
      <c r="J683" s="15"/>
      <c r="V683" s="15"/>
      <c r="W683" s="15"/>
    </row>
    <row r="684">
      <c r="J684" s="15"/>
      <c r="V684" s="15"/>
      <c r="W684" s="15"/>
    </row>
    <row r="685">
      <c r="J685" s="15"/>
      <c r="V685" s="15"/>
      <c r="W685" s="15"/>
    </row>
    <row r="686">
      <c r="J686" s="15"/>
      <c r="V686" s="15"/>
      <c r="W686" s="15"/>
    </row>
    <row r="687">
      <c r="J687" s="15"/>
      <c r="V687" s="15"/>
      <c r="W687" s="15"/>
    </row>
    <row r="688">
      <c r="J688" s="15"/>
      <c r="V688" s="15"/>
      <c r="W688" s="15"/>
    </row>
    <row r="689">
      <c r="J689" s="15"/>
      <c r="V689" s="15"/>
      <c r="W689" s="15"/>
    </row>
    <row r="690">
      <c r="J690" s="15"/>
      <c r="V690" s="15"/>
      <c r="W690" s="15"/>
    </row>
    <row r="691">
      <c r="J691" s="15"/>
      <c r="V691" s="15"/>
      <c r="W691" s="15"/>
    </row>
    <row r="692">
      <c r="J692" s="15"/>
      <c r="V692" s="15"/>
      <c r="W692" s="15"/>
    </row>
    <row r="693">
      <c r="J693" s="15"/>
      <c r="V693" s="15"/>
      <c r="W693" s="15"/>
    </row>
    <row r="694">
      <c r="J694" s="15"/>
      <c r="V694" s="15"/>
      <c r="W694" s="15"/>
    </row>
    <row r="695">
      <c r="J695" s="15"/>
      <c r="V695" s="15"/>
      <c r="W695" s="15"/>
    </row>
    <row r="696">
      <c r="J696" s="15"/>
      <c r="V696" s="15"/>
      <c r="W696" s="15"/>
    </row>
    <row r="697">
      <c r="J697" s="15"/>
      <c r="V697" s="15"/>
      <c r="W697" s="15"/>
    </row>
    <row r="698">
      <c r="J698" s="15"/>
      <c r="V698" s="15"/>
      <c r="W698" s="15"/>
    </row>
    <row r="699">
      <c r="J699" s="15"/>
      <c r="V699" s="15"/>
      <c r="W699" s="15"/>
    </row>
    <row r="700">
      <c r="J700" s="15"/>
      <c r="V700" s="15"/>
      <c r="W700" s="15"/>
    </row>
    <row r="701">
      <c r="J701" s="15"/>
      <c r="V701" s="15"/>
      <c r="W701" s="15"/>
    </row>
    <row r="702">
      <c r="J702" s="15"/>
      <c r="V702" s="15"/>
      <c r="W702" s="15"/>
    </row>
    <row r="703">
      <c r="J703" s="15"/>
      <c r="V703" s="15"/>
      <c r="W703" s="15"/>
    </row>
    <row r="704">
      <c r="J704" s="15"/>
      <c r="V704" s="15"/>
      <c r="W704" s="15"/>
    </row>
    <row r="705">
      <c r="J705" s="15"/>
      <c r="V705" s="15"/>
      <c r="W705" s="15"/>
    </row>
    <row r="706">
      <c r="J706" s="15"/>
      <c r="V706" s="15"/>
      <c r="W706" s="15"/>
    </row>
    <row r="707">
      <c r="J707" s="15"/>
      <c r="V707" s="15"/>
      <c r="W707" s="15"/>
    </row>
    <row r="708">
      <c r="J708" s="15"/>
      <c r="V708" s="15"/>
      <c r="W708" s="15"/>
    </row>
    <row r="709">
      <c r="J709" s="15"/>
      <c r="V709" s="15"/>
      <c r="W709" s="15"/>
    </row>
    <row r="710">
      <c r="J710" s="15"/>
      <c r="V710" s="15"/>
      <c r="W710" s="15"/>
    </row>
    <row r="711">
      <c r="J711" s="15"/>
      <c r="V711" s="15"/>
      <c r="W711" s="15"/>
    </row>
    <row r="712">
      <c r="J712" s="15"/>
      <c r="V712" s="15"/>
      <c r="W712" s="15"/>
    </row>
    <row r="713">
      <c r="J713" s="15"/>
      <c r="V713" s="15"/>
      <c r="W713" s="15"/>
    </row>
    <row r="714">
      <c r="J714" s="15"/>
      <c r="V714" s="15"/>
      <c r="W714" s="15"/>
    </row>
    <row r="715">
      <c r="J715" s="15"/>
      <c r="V715" s="15"/>
      <c r="W715" s="15"/>
    </row>
    <row r="716">
      <c r="J716" s="15"/>
      <c r="V716" s="15"/>
      <c r="W716" s="15"/>
    </row>
    <row r="717">
      <c r="J717" s="15"/>
      <c r="V717" s="15"/>
      <c r="W717" s="15"/>
    </row>
    <row r="718">
      <c r="J718" s="15"/>
      <c r="V718" s="15"/>
      <c r="W718" s="15"/>
    </row>
    <row r="719">
      <c r="J719" s="15"/>
      <c r="V719" s="15"/>
      <c r="W719" s="15"/>
    </row>
    <row r="720">
      <c r="J720" s="15"/>
      <c r="V720" s="15"/>
      <c r="W720" s="15"/>
    </row>
    <row r="721">
      <c r="J721" s="15"/>
      <c r="V721" s="15"/>
      <c r="W721" s="15"/>
    </row>
    <row r="722">
      <c r="J722" s="15"/>
      <c r="V722" s="15"/>
      <c r="W722" s="15"/>
    </row>
    <row r="723">
      <c r="J723" s="15"/>
      <c r="V723" s="15"/>
      <c r="W723" s="15"/>
    </row>
    <row r="724">
      <c r="J724" s="15"/>
      <c r="V724" s="15"/>
      <c r="W724" s="15"/>
    </row>
    <row r="725">
      <c r="J725" s="15"/>
      <c r="V725" s="15"/>
      <c r="W725" s="15"/>
    </row>
    <row r="726">
      <c r="J726" s="15"/>
      <c r="V726" s="15"/>
      <c r="W726" s="15"/>
    </row>
    <row r="727">
      <c r="J727" s="15"/>
      <c r="V727" s="15"/>
      <c r="W727" s="15"/>
    </row>
    <row r="728">
      <c r="J728" s="15"/>
      <c r="V728" s="15"/>
      <c r="W728" s="15"/>
    </row>
    <row r="729">
      <c r="J729" s="15"/>
      <c r="V729" s="15"/>
      <c r="W729" s="15"/>
    </row>
    <row r="730">
      <c r="J730" s="15"/>
      <c r="V730" s="15"/>
      <c r="W730" s="15"/>
    </row>
    <row r="731">
      <c r="J731" s="15"/>
      <c r="V731" s="15"/>
      <c r="W731" s="15"/>
    </row>
    <row r="732">
      <c r="J732" s="15"/>
      <c r="V732" s="15"/>
      <c r="W732" s="15"/>
    </row>
    <row r="733">
      <c r="J733" s="15"/>
      <c r="V733" s="15"/>
      <c r="W733" s="15"/>
    </row>
    <row r="734">
      <c r="J734" s="15"/>
      <c r="V734" s="15"/>
      <c r="W734" s="15"/>
    </row>
    <row r="735">
      <c r="J735" s="15"/>
      <c r="V735" s="15"/>
      <c r="W735" s="15"/>
    </row>
    <row r="736">
      <c r="J736" s="15"/>
      <c r="V736" s="15"/>
      <c r="W736" s="15"/>
    </row>
    <row r="737">
      <c r="J737" s="15"/>
      <c r="V737" s="15"/>
      <c r="W737" s="15"/>
    </row>
    <row r="738">
      <c r="J738" s="15"/>
      <c r="V738" s="15"/>
      <c r="W738" s="15"/>
    </row>
    <row r="739">
      <c r="J739" s="15"/>
      <c r="V739" s="15"/>
      <c r="W739" s="15"/>
    </row>
    <row r="740">
      <c r="J740" s="15"/>
      <c r="V740" s="15"/>
      <c r="W740" s="15"/>
    </row>
    <row r="741">
      <c r="J741" s="15"/>
      <c r="V741" s="15"/>
      <c r="W741" s="15"/>
    </row>
    <row r="742">
      <c r="J742" s="15"/>
      <c r="V742" s="15"/>
      <c r="W742" s="15"/>
    </row>
    <row r="743">
      <c r="J743" s="15"/>
      <c r="V743" s="15"/>
      <c r="W743" s="15"/>
    </row>
    <row r="744">
      <c r="J744" s="15"/>
      <c r="V744" s="15"/>
      <c r="W744" s="15"/>
    </row>
    <row r="745">
      <c r="J745" s="15"/>
      <c r="V745" s="15"/>
      <c r="W745" s="15"/>
    </row>
    <row r="746">
      <c r="J746" s="15"/>
      <c r="V746" s="15"/>
      <c r="W746" s="15"/>
    </row>
    <row r="747">
      <c r="J747" s="15"/>
      <c r="V747" s="15"/>
      <c r="W747" s="15"/>
    </row>
    <row r="748">
      <c r="J748" s="15"/>
      <c r="V748" s="15"/>
      <c r="W748" s="15"/>
    </row>
    <row r="749">
      <c r="J749" s="15"/>
      <c r="V749" s="15"/>
      <c r="W749" s="15"/>
    </row>
    <row r="750">
      <c r="J750" s="15"/>
      <c r="V750" s="15"/>
      <c r="W750" s="15"/>
    </row>
    <row r="751">
      <c r="J751" s="15"/>
      <c r="V751" s="15"/>
      <c r="W751" s="15"/>
    </row>
    <row r="752">
      <c r="J752" s="15"/>
      <c r="V752" s="15"/>
      <c r="W752" s="15"/>
    </row>
    <row r="753">
      <c r="J753" s="15"/>
      <c r="V753" s="15"/>
      <c r="W753" s="15"/>
    </row>
    <row r="754">
      <c r="J754" s="15"/>
      <c r="V754" s="15"/>
      <c r="W754" s="15"/>
    </row>
    <row r="755">
      <c r="J755" s="15"/>
      <c r="V755" s="15"/>
      <c r="W755" s="15"/>
    </row>
    <row r="756">
      <c r="J756" s="15"/>
      <c r="V756" s="15"/>
      <c r="W756" s="15"/>
    </row>
    <row r="757">
      <c r="J757" s="15"/>
      <c r="V757" s="15"/>
      <c r="W757" s="15"/>
    </row>
    <row r="758">
      <c r="J758" s="15"/>
      <c r="V758" s="15"/>
      <c r="W758" s="15"/>
    </row>
    <row r="759">
      <c r="J759" s="15"/>
      <c r="V759" s="15"/>
      <c r="W759" s="15"/>
    </row>
    <row r="760">
      <c r="J760" s="15"/>
      <c r="V760" s="15"/>
      <c r="W760" s="15"/>
    </row>
    <row r="761">
      <c r="J761" s="15"/>
      <c r="V761" s="15"/>
      <c r="W761" s="15"/>
    </row>
    <row r="762">
      <c r="J762" s="15"/>
      <c r="V762" s="15"/>
      <c r="W762" s="15"/>
    </row>
    <row r="763">
      <c r="J763" s="15"/>
      <c r="V763" s="15"/>
      <c r="W763" s="15"/>
    </row>
    <row r="764">
      <c r="J764" s="15"/>
      <c r="V764" s="15"/>
      <c r="W764" s="15"/>
    </row>
    <row r="765">
      <c r="J765" s="15"/>
      <c r="V765" s="15"/>
      <c r="W765" s="15"/>
    </row>
    <row r="766">
      <c r="J766" s="15"/>
      <c r="V766" s="15"/>
      <c r="W766" s="15"/>
    </row>
    <row r="767">
      <c r="J767" s="15"/>
      <c r="V767" s="15"/>
      <c r="W767" s="15"/>
    </row>
    <row r="768">
      <c r="J768" s="15"/>
      <c r="V768" s="15"/>
      <c r="W768" s="15"/>
    </row>
    <row r="769">
      <c r="J769" s="15"/>
      <c r="V769" s="15"/>
      <c r="W769" s="15"/>
    </row>
    <row r="770">
      <c r="J770" s="15"/>
      <c r="V770" s="15"/>
      <c r="W770" s="15"/>
    </row>
    <row r="771">
      <c r="J771" s="15"/>
      <c r="V771" s="15"/>
      <c r="W771" s="15"/>
    </row>
    <row r="772">
      <c r="J772" s="15"/>
      <c r="V772" s="15"/>
      <c r="W772" s="15"/>
    </row>
    <row r="773">
      <c r="J773" s="15"/>
      <c r="V773" s="15"/>
      <c r="W773" s="15"/>
    </row>
    <row r="774">
      <c r="J774" s="15"/>
      <c r="V774" s="15"/>
      <c r="W774" s="15"/>
    </row>
    <row r="775">
      <c r="J775" s="15"/>
      <c r="V775" s="15"/>
      <c r="W775" s="15"/>
    </row>
    <row r="776">
      <c r="J776" s="15"/>
      <c r="V776" s="15"/>
      <c r="W776" s="15"/>
    </row>
    <row r="777">
      <c r="J777" s="15"/>
      <c r="V777" s="15"/>
      <c r="W777" s="15"/>
    </row>
    <row r="778">
      <c r="J778" s="15"/>
      <c r="V778" s="15"/>
      <c r="W778" s="15"/>
    </row>
    <row r="779">
      <c r="J779" s="15"/>
      <c r="V779" s="15"/>
      <c r="W779" s="15"/>
    </row>
    <row r="780">
      <c r="J780" s="15"/>
      <c r="V780" s="15"/>
      <c r="W780" s="15"/>
    </row>
    <row r="781">
      <c r="J781" s="15"/>
      <c r="V781" s="15"/>
      <c r="W781" s="15"/>
    </row>
    <row r="782">
      <c r="J782" s="15"/>
      <c r="V782" s="15"/>
      <c r="W782" s="15"/>
    </row>
    <row r="783">
      <c r="J783" s="15"/>
      <c r="V783" s="15"/>
      <c r="W783" s="15"/>
    </row>
    <row r="784">
      <c r="J784" s="15"/>
      <c r="V784" s="15"/>
      <c r="W784" s="15"/>
    </row>
    <row r="785">
      <c r="J785" s="15"/>
      <c r="V785" s="15"/>
      <c r="W785" s="15"/>
    </row>
    <row r="786">
      <c r="J786" s="15"/>
      <c r="V786" s="15"/>
      <c r="W786" s="15"/>
    </row>
    <row r="787">
      <c r="J787" s="15"/>
      <c r="V787" s="15"/>
      <c r="W787" s="15"/>
    </row>
    <row r="788">
      <c r="J788" s="15"/>
      <c r="V788" s="15"/>
      <c r="W788" s="15"/>
    </row>
    <row r="789">
      <c r="J789" s="15"/>
      <c r="V789" s="15"/>
      <c r="W789" s="15"/>
    </row>
    <row r="790">
      <c r="J790" s="15"/>
      <c r="V790" s="15"/>
      <c r="W790" s="15"/>
    </row>
    <row r="791">
      <c r="J791" s="15"/>
      <c r="V791" s="15"/>
      <c r="W791" s="15"/>
    </row>
    <row r="792">
      <c r="J792" s="15"/>
      <c r="V792" s="15"/>
      <c r="W792" s="15"/>
    </row>
    <row r="793">
      <c r="J793" s="15"/>
      <c r="V793" s="15"/>
      <c r="W793" s="15"/>
    </row>
    <row r="794">
      <c r="J794" s="15"/>
      <c r="V794" s="15"/>
      <c r="W794" s="15"/>
    </row>
    <row r="795">
      <c r="J795" s="15"/>
      <c r="V795" s="15"/>
      <c r="W795" s="15"/>
    </row>
    <row r="796">
      <c r="J796" s="15"/>
      <c r="V796" s="15"/>
      <c r="W796" s="15"/>
    </row>
    <row r="797">
      <c r="J797" s="15"/>
      <c r="V797" s="15"/>
      <c r="W797" s="15"/>
    </row>
    <row r="798">
      <c r="J798" s="15"/>
      <c r="V798" s="15"/>
      <c r="W798" s="15"/>
    </row>
    <row r="799">
      <c r="J799" s="15"/>
      <c r="V799" s="15"/>
      <c r="W799" s="15"/>
    </row>
    <row r="800">
      <c r="J800" s="15"/>
      <c r="V800" s="15"/>
      <c r="W800" s="15"/>
    </row>
    <row r="801">
      <c r="J801" s="15"/>
      <c r="V801" s="15"/>
      <c r="W801" s="15"/>
    </row>
    <row r="802">
      <c r="J802" s="15"/>
      <c r="V802" s="15"/>
      <c r="W802" s="15"/>
    </row>
    <row r="803">
      <c r="J803" s="15"/>
      <c r="V803" s="15"/>
      <c r="W803" s="15"/>
    </row>
    <row r="804">
      <c r="J804" s="15"/>
      <c r="V804" s="15"/>
      <c r="W804" s="15"/>
    </row>
    <row r="805">
      <c r="J805" s="15"/>
      <c r="V805" s="15"/>
      <c r="W805" s="15"/>
    </row>
    <row r="806">
      <c r="J806" s="15"/>
      <c r="V806" s="15"/>
      <c r="W806" s="15"/>
    </row>
    <row r="807">
      <c r="J807" s="15"/>
      <c r="V807" s="15"/>
      <c r="W807" s="15"/>
    </row>
    <row r="808">
      <c r="J808" s="15"/>
      <c r="V808" s="15"/>
      <c r="W808" s="15"/>
    </row>
    <row r="809">
      <c r="J809" s="15"/>
      <c r="V809" s="15"/>
      <c r="W809" s="15"/>
    </row>
    <row r="810">
      <c r="J810" s="15"/>
      <c r="V810" s="15"/>
      <c r="W810" s="15"/>
    </row>
    <row r="811">
      <c r="J811" s="15"/>
      <c r="V811" s="15"/>
      <c r="W811" s="15"/>
    </row>
    <row r="812">
      <c r="J812" s="15"/>
      <c r="V812" s="15"/>
      <c r="W812" s="15"/>
    </row>
    <row r="813">
      <c r="J813" s="15"/>
      <c r="V813" s="15"/>
      <c r="W813" s="15"/>
    </row>
    <row r="814">
      <c r="J814" s="15"/>
      <c r="V814" s="15"/>
      <c r="W814" s="15"/>
    </row>
    <row r="815">
      <c r="J815" s="15"/>
      <c r="V815" s="15"/>
      <c r="W815" s="15"/>
    </row>
    <row r="816">
      <c r="J816" s="15"/>
      <c r="V816" s="15"/>
      <c r="W816" s="15"/>
    </row>
    <row r="817">
      <c r="J817" s="15"/>
      <c r="V817" s="15"/>
      <c r="W817" s="15"/>
    </row>
    <row r="818">
      <c r="J818" s="15"/>
      <c r="V818" s="15"/>
      <c r="W818" s="15"/>
    </row>
    <row r="819">
      <c r="J819" s="15"/>
      <c r="V819" s="15"/>
      <c r="W819" s="15"/>
    </row>
    <row r="820">
      <c r="J820" s="15"/>
      <c r="V820" s="15"/>
      <c r="W820" s="15"/>
    </row>
    <row r="821">
      <c r="J821" s="15"/>
      <c r="V821" s="15"/>
      <c r="W821" s="15"/>
    </row>
    <row r="822">
      <c r="J822" s="15"/>
      <c r="V822" s="15"/>
      <c r="W822" s="15"/>
    </row>
    <row r="823">
      <c r="J823" s="15"/>
      <c r="V823" s="15"/>
      <c r="W823" s="15"/>
    </row>
    <row r="824">
      <c r="J824" s="15"/>
      <c r="V824" s="15"/>
      <c r="W824" s="15"/>
    </row>
    <row r="825">
      <c r="J825" s="15"/>
      <c r="V825" s="15"/>
      <c r="W825" s="15"/>
    </row>
    <row r="826">
      <c r="J826" s="15"/>
      <c r="V826" s="15"/>
      <c r="W826" s="15"/>
    </row>
    <row r="827">
      <c r="J827" s="15"/>
      <c r="V827" s="15"/>
      <c r="W827" s="15"/>
    </row>
    <row r="828">
      <c r="J828" s="15"/>
      <c r="V828" s="15"/>
      <c r="W828" s="15"/>
    </row>
    <row r="829">
      <c r="J829" s="15"/>
      <c r="V829" s="15"/>
      <c r="W829" s="15"/>
    </row>
    <row r="830">
      <c r="J830" s="15"/>
      <c r="V830" s="15"/>
      <c r="W830" s="15"/>
    </row>
    <row r="831">
      <c r="J831" s="15"/>
      <c r="V831" s="15"/>
      <c r="W831" s="15"/>
    </row>
    <row r="832">
      <c r="J832" s="15"/>
      <c r="V832" s="15"/>
      <c r="W832" s="15"/>
    </row>
    <row r="833">
      <c r="J833" s="15"/>
      <c r="V833" s="15"/>
      <c r="W833" s="15"/>
    </row>
    <row r="834">
      <c r="J834" s="15"/>
      <c r="V834" s="15"/>
      <c r="W834" s="15"/>
    </row>
    <row r="835">
      <c r="J835" s="15"/>
      <c r="V835" s="15"/>
      <c r="W835" s="15"/>
    </row>
    <row r="836">
      <c r="J836" s="15"/>
      <c r="V836" s="15"/>
      <c r="W836" s="15"/>
    </row>
    <row r="837">
      <c r="J837" s="15"/>
      <c r="V837" s="15"/>
      <c r="W837" s="15"/>
    </row>
    <row r="838">
      <c r="J838" s="15"/>
      <c r="V838" s="15"/>
      <c r="W838" s="15"/>
    </row>
    <row r="839">
      <c r="J839" s="15"/>
      <c r="V839" s="15"/>
      <c r="W839" s="15"/>
    </row>
    <row r="840">
      <c r="J840" s="15"/>
      <c r="V840" s="15"/>
      <c r="W840" s="15"/>
    </row>
    <row r="841">
      <c r="J841" s="15"/>
      <c r="V841" s="15"/>
      <c r="W841" s="15"/>
    </row>
    <row r="842">
      <c r="J842" s="15"/>
      <c r="V842" s="15"/>
      <c r="W842" s="15"/>
    </row>
    <row r="843">
      <c r="J843" s="15"/>
      <c r="V843" s="15"/>
      <c r="W843" s="15"/>
    </row>
    <row r="844">
      <c r="J844" s="15"/>
      <c r="V844" s="15"/>
      <c r="W844" s="15"/>
    </row>
    <row r="845">
      <c r="J845" s="15"/>
      <c r="V845" s="15"/>
      <c r="W845" s="15"/>
    </row>
    <row r="846">
      <c r="J846" s="15"/>
      <c r="V846" s="15"/>
      <c r="W846" s="15"/>
    </row>
    <row r="847">
      <c r="J847" s="15"/>
      <c r="V847" s="15"/>
      <c r="W847" s="15"/>
    </row>
    <row r="848">
      <c r="J848" s="15"/>
      <c r="V848" s="15"/>
      <c r="W848" s="15"/>
    </row>
    <row r="849">
      <c r="J849" s="15"/>
      <c r="V849" s="15"/>
      <c r="W849" s="15"/>
    </row>
    <row r="850">
      <c r="J850" s="15"/>
      <c r="V850" s="15"/>
      <c r="W850" s="15"/>
    </row>
    <row r="851">
      <c r="J851" s="15"/>
      <c r="V851" s="15"/>
      <c r="W851" s="15"/>
    </row>
    <row r="852">
      <c r="J852" s="15"/>
      <c r="V852" s="15"/>
      <c r="W852" s="15"/>
    </row>
    <row r="853">
      <c r="J853" s="15"/>
      <c r="V853" s="15"/>
      <c r="W853" s="15"/>
    </row>
    <row r="854">
      <c r="J854" s="15"/>
      <c r="V854" s="15"/>
      <c r="W854" s="15"/>
    </row>
    <row r="855">
      <c r="J855" s="15"/>
      <c r="V855" s="15"/>
      <c r="W855" s="15"/>
    </row>
    <row r="856">
      <c r="J856" s="15"/>
      <c r="V856" s="15"/>
      <c r="W856" s="15"/>
    </row>
    <row r="857">
      <c r="J857" s="15"/>
      <c r="V857" s="15"/>
      <c r="W857" s="15"/>
    </row>
    <row r="858">
      <c r="J858" s="15"/>
      <c r="V858" s="15"/>
      <c r="W858" s="15"/>
    </row>
    <row r="859">
      <c r="J859" s="15"/>
      <c r="V859" s="15"/>
      <c r="W859" s="15"/>
    </row>
    <row r="860">
      <c r="J860" s="15"/>
      <c r="V860" s="15"/>
      <c r="W860" s="15"/>
    </row>
    <row r="861">
      <c r="J861" s="15"/>
      <c r="V861" s="15"/>
      <c r="W861" s="15"/>
    </row>
    <row r="862">
      <c r="J862" s="15"/>
      <c r="V862" s="15"/>
      <c r="W862" s="15"/>
    </row>
    <row r="863">
      <c r="J863" s="15"/>
      <c r="V863" s="15"/>
      <c r="W863" s="15"/>
    </row>
    <row r="864">
      <c r="J864" s="15"/>
      <c r="V864" s="15"/>
      <c r="W864" s="15"/>
    </row>
    <row r="865">
      <c r="J865" s="15"/>
      <c r="V865" s="15"/>
      <c r="W865" s="15"/>
    </row>
    <row r="866">
      <c r="J866" s="15"/>
      <c r="V866" s="15"/>
      <c r="W866" s="15"/>
    </row>
    <row r="867">
      <c r="J867" s="15"/>
      <c r="V867" s="15"/>
      <c r="W867" s="15"/>
    </row>
    <row r="868">
      <c r="J868" s="15"/>
      <c r="V868" s="15"/>
      <c r="W868" s="15"/>
    </row>
    <row r="869">
      <c r="J869" s="15"/>
      <c r="V869" s="15"/>
      <c r="W869" s="15"/>
    </row>
    <row r="870">
      <c r="J870" s="15"/>
      <c r="V870" s="15"/>
      <c r="W870" s="15"/>
    </row>
    <row r="871">
      <c r="J871" s="15"/>
      <c r="V871" s="15"/>
      <c r="W871" s="15"/>
    </row>
    <row r="872">
      <c r="J872" s="15"/>
      <c r="V872" s="15"/>
      <c r="W872" s="15"/>
    </row>
    <row r="873">
      <c r="J873" s="15"/>
      <c r="V873" s="15"/>
      <c r="W873" s="15"/>
    </row>
    <row r="874">
      <c r="J874" s="15"/>
      <c r="V874" s="15"/>
      <c r="W874" s="15"/>
    </row>
    <row r="875">
      <c r="J875" s="15"/>
      <c r="V875" s="15"/>
      <c r="W875" s="15"/>
    </row>
    <row r="876">
      <c r="J876" s="15"/>
      <c r="V876" s="15"/>
      <c r="W876" s="15"/>
    </row>
    <row r="877">
      <c r="J877" s="15"/>
      <c r="V877" s="15"/>
      <c r="W877" s="15"/>
    </row>
    <row r="878">
      <c r="J878" s="15"/>
      <c r="V878" s="15"/>
      <c r="W878" s="15"/>
    </row>
    <row r="879">
      <c r="J879" s="15"/>
      <c r="V879" s="15"/>
      <c r="W879" s="15"/>
    </row>
    <row r="880">
      <c r="J880" s="15"/>
      <c r="V880" s="15"/>
      <c r="W880" s="15"/>
    </row>
    <row r="881">
      <c r="J881" s="15"/>
      <c r="V881" s="15"/>
      <c r="W881" s="15"/>
    </row>
    <row r="882">
      <c r="J882" s="15"/>
      <c r="V882" s="15"/>
      <c r="W882" s="15"/>
    </row>
    <row r="883">
      <c r="J883" s="15"/>
      <c r="V883" s="15"/>
      <c r="W883" s="15"/>
    </row>
    <row r="884">
      <c r="J884" s="15"/>
      <c r="V884" s="15"/>
      <c r="W884" s="15"/>
    </row>
    <row r="885">
      <c r="J885" s="15"/>
      <c r="V885" s="15"/>
      <c r="W885" s="15"/>
    </row>
    <row r="886">
      <c r="J886" s="15"/>
      <c r="V886" s="15"/>
      <c r="W886" s="15"/>
    </row>
    <row r="887">
      <c r="J887" s="15"/>
      <c r="V887" s="15"/>
      <c r="W887" s="15"/>
    </row>
    <row r="888">
      <c r="J888" s="15"/>
      <c r="V888" s="15"/>
      <c r="W888" s="15"/>
    </row>
    <row r="889">
      <c r="J889" s="15"/>
      <c r="V889" s="15"/>
      <c r="W889" s="15"/>
    </row>
    <row r="890">
      <c r="J890" s="15"/>
      <c r="V890" s="15"/>
      <c r="W890" s="15"/>
    </row>
    <row r="891">
      <c r="J891" s="15"/>
      <c r="V891" s="15"/>
      <c r="W891" s="15"/>
    </row>
    <row r="892">
      <c r="J892" s="15"/>
      <c r="V892" s="15"/>
      <c r="W892" s="15"/>
    </row>
    <row r="893">
      <c r="J893" s="15"/>
      <c r="V893" s="15"/>
      <c r="W893" s="15"/>
    </row>
    <row r="894">
      <c r="J894" s="15"/>
      <c r="V894" s="15"/>
      <c r="W894" s="15"/>
    </row>
    <row r="895">
      <c r="J895" s="15"/>
      <c r="V895" s="15"/>
      <c r="W895" s="15"/>
    </row>
    <row r="896">
      <c r="J896" s="15"/>
      <c r="V896" s="15"/>
      <c r="W896" s="15"/>
    </row>
    <row r="897">
      <c r="J897" s="15"/>
      <c r="V897" s="15"/>
      <c r="W897" s="15"/>
    </row>
    <row r="898">
      <c r="J898" s="15"/>
      <c r="V898" s="15"/>
      <c r="W898" s="15"/>
    </row>
    <row r="899">
      <c r="J899" s="15"/>
      <c r="V899" s="15"/>
      <c r="W899" s="15"/>
    </row>
    <row r="900">
      <c r="J900" s="15"/>
      <c r="V900" s="15"/>
      <c r="W900" s="15"/>
    </row>
    <row r="901">
      <c r="J901" s="15"/>
      <c r="V901" s="15"/>
      <c r="W901" s="15"/>
    </row>
    <row r="902">
      <c r="J902" s="15"/>
      <c r="V902" s="15"/>
      <c r="W902" s="15"/>
    </row>
    <row r="903">
      <c r="J903" s="15"/>
      <c r="V903" s="15"/>
      <c r="W903" s="15"/>
    </row>
    <row r="904">
      <c r="J904" s="15"/>
      <c r="V904" s="15"/>
      <c r="W904" s="15"/>
    </row>
    <row r="905">
      <c r="J905" s="15"/>
      <c r="V905" s="15"/>
      <c r="W905" s="15"/>
    </row>
    <row r="906">
      <c r="J906" s="15"/>
      <c r="V906" s="15"/>
      <c r="W906" s="15"/>
    </row>
    <row r="907">
      <c r="J907" s="15"/>
      <c r="V907" s="15"/>
      <c r="W907" s="15"/>
    </row>
    <row r="908">
      <c r="J908" s="15"/>
      <c r="V908" s="15"/>
      <c r="W908" s="15"/>
    </row>
    <row r="909">
      <c r="J909" s="15"/>
      <c r="V909" s="15"/>
      <c r="W909" s="15"/>
    </row>
    <row r="910">
      <c r="J910" s="15"/>
      <c r="V910" s="15"/>
      <c r="W910" s="15"/>
    </row>
    <row r="911">
      <c r="J911" s="15"/>
      <c r="V911" s="15"/>
      <c r="W911" s="15"/>
    </row>
    <row r="912">
      <c r="J912" s="15"/>
      <c r="V912" s="15"/>
      <c r="W912" s="15"/>
    </row>
    <row r="913">
      <c r="J913" s="15"/>
      <c r="V913" s="15"/>
      <c r="W913" s="15"/>
    </row>
    <row r="914">
      <c r="J914" s="15"/>
      <c r="V914" s="15"/>
      <c r="W914" s="15"/>
    </row>
    <row r="915">
      <c r="J915" s="15"/>
      <c r="V915" s="15"/>
      <c r="W915" s="15"/>
    </row>
    <row r="916">
      <c r="J916" s="15"/>
      <c r="V916" s="15"/>
      <c r="W916" s="15"/>
    </row>
    <row r="917">
      <c r="J917" s="15"/>
      <c r="V917" s="15"/>
      <c r="W917" s="15"/>
    </row>
    <row r="918">
      <c r="J918" s="15"/>
      <c r="V918" s="15"/>
      <c r="W918" s="15"/>
    </row>
    <row r="919">
      <c r="J919" s="15"/>
      <c r="V919" s="15"/>
      <c r="W919" s="15"/>
    </row>
    <row r="920">
      <c r="J920" s="15"/>
      <c r="V920" s="15"/>
      <c r="W920" s="15"/>
    </row>
    <row r="921">
      <c r="J921" s="15"/>
      <c r="V921" s="15"/>
      <c r="W921" s="15"/>
    </row>
    <row r="922">
      <c r="J922" s="15"/>
      <c r="V922" s="15"/>
      <c r="W922" s="15"/>
    </row>
    <row r="923">
      <c r="J923" s="15"/>
      <c r="V923" s="15"/>
      <c r="W923" s="15"/>
    </row>
    <row r="924">
      <c r="J924" s="15"/>
      <c r="V924" s="15"/>
      <c r="W924" s="15"/>
    </row>
    <row r="925">
      <c r="J925" s="15"/>
      <c r="V925" s="15"/>
      <c r="W925" s="15"/>
    </row>
    <row r="926">
      <c r="J926" s="15"/>
      <c r="V926" s="15"/>
      <c r="W926" s="15"/>
    </row>
    <row r="927">
      <c r="J927" s="15"/>
      <c r="V927" s="15"/>
      <c r="W927" s="15"/>
    </row>
    <row r="928">
      <c r="J928" s="15"/>
      <c r="V928" s="15"/>
      <c r="W928" s="15"/>
    </row>
    <row r="929">
      <c r="J929" s="15"/>
      <c r="V929" s="15"/>
      <c r="W929" s="15"/>
    </row>
    <row r="930">
      <c r="J930" s="15"/>
      <c r="V930" s="15"/>
      <c r="W930" s="15"/>
    </row>
    <row r="931">
      <c r="J931" s="15"/>
      <c r="V931" s="15"/>
      <c r="W931" s="15"/>
    </row>
    <row r="932">
      <c r="J932" s="15"/>
      <c r="V932" s="15"/>
      <c r="W932" s="15"/>
    </row>
    <row r="933">
      <c r="J933" s="15"/>
      <c r="V933" s="15"/>
      <c r="W933" s="15"/>
    </row>
    <row r="934">
      <c r="J934" s="15"/>
      <c r="V934" s="15"/>
      <c r="W934" s="15"/>
    </row>
    <row r="935">
      <c r="J935" s="15"/>
      <c r="V935" s="15"/>
      <c r="W935" s="15"/>
    </row>
    <row r="936">
      <c r="J936" s="15"/>
      <c r="V936" s="15"/>
      <c r="W936" s="15"/>
    </row>
    <row r="937">
      <c r="J937" s="15"/>
      <c r="V937" s="15"/>
      <c r="W937" s="15"/>
    </row>
    <row r="938">
      <c r="J938" s="15"/>
      <c r="V938" s="15"/>
      <c r="W938" s="15"/>
    </row>
    <row r="939">
      <c r="J939" s="15"/>
      <c r="V939" s="15"/>
      <c r="W939" s="15"/>
    </row>
    <row r="940">
      <c r="J940" s="15"/>
      <c r="V940" s="15"/>
      <c r="W940" s="15"/>
    </row>
    <row r="941">
      <c r="J941" s="15"/>
      <c r="V941" s="15"/>
      <c r="W941" s="15"/>
    </row>
    <row r="942">
      <c r="J942" s="15"/>
      <c r="V942" s="15"/>
      <c r="W942" s="15"/>
    </row>
    <row r="943">
      <c r="J943" s="15"/>
      <c r="V943" s="15"/>
      <c r="W943" s="15"/>
    </row>
    <row r="944">
      <c r="J944" s="15"/>
      <c r="V944" s="15"/>
      <c r="W944" s="15"/>
    </row>
    <row r="945">
      <c r="J945" s="15"/>
      <c r="V945" s="15"/>
      <c r="W945" s="15"/>
    </row>
    <row r="946">
      <c r="J946" s="15"/>
      <c r="V946" s="15"/>
      <c r="W946" s="15"/>
    </row>
    <row r="947">
      <c r="J947" s="15"/>
      <c r="V947" s="15"/>
      <c r="W947" s="15"/>
    </row>
    <row r="948">
      <c r="J948" s="15"/>
      <c r="V948" s="15"/>
      <c r="W948" s="15"/>
    </row>
    <row r="949">
      <c r="J949" s="15"/>
      <c r="V949" s="15"/>
      <c r="W949" s="15"/>
    </row>
    <row r="950">
      <c r="J950" s="15"/>
      <c r="V950" s="15"/>
      <c r="W950" s="15"/>
    </row>
    <row r="951">
      <c r="J951" s="15"/>
      <c r="V951" s="15"/>
      <c r="W951" s="15"/>
    </row>
    <row r="952">
      <c r="J952" s="15"/>
      <c r="V952" s="15"/>
      <c r="W952" s="15"/>
    </row>
    <row r="953">
      <c r="J953" s="15"/>
      <c r="V953" s="15"/>
      <c r="W953" s="15"/>
    </row>
    <row r="954">
      <c r="J954" s="15"/>
      <c r="V954" s="15"/>
      <c r="W954" s="15"/>
    </row>
    <row r="955">
      <c r="J955" s="15"/>
      <c r="V955" s="15"/>
      <c r="W955" s="15"/>
    </row>
    <row r="956">
      <c r="J956" s="15"/>
      <c r="V956" s="15"/>
      <c r="W956" s="15"/>
    </row>
    <row r="957">
      <c r="J957" s="15"/>
      <c r="V957" s="15"/>
      <c r="W957" s="15"/>
    </row>
    <row r="958">
      <c r="J958" s="15"/>
      <c r="V958" s="15"/>
      <c r="W958" s="15"/>
    </row>
    <row r="959">
      <c r="J959" s="15"/>
      <c r="V959" s="15"/>
      <c r="W959" s="15"/>
    </row>
    <row r="960">
      <c r="J960" s="15"/>
      <c r="V960" s="15"/>
      <c r="W960" s="15"/>
    </row>
    <row r="961">
      <c r="J961" s="15"/>
      <c r="V961" s="15"/>
      <c r="W961" s="15"/>
    </row>
    <row r="962">
      <c r="J962" s="15"/>
      <c r="V962" s="15"/>
      <c r="W962" s="15"/>
    </row>
    <row r="963">
      <c r="J963" s="15"/>
      <c r="V963" s="15"/>
      <c r="W963" s="15"/>
    </row>
    <row r="964">
      <c r="J964" s="15"/>
      <c r="V964" s="15"/>
      <c r="W964" s="15"/>
    </row>
    <row r="965">
      <c r="J965" s="15"/>
      <c r="V965" s="15"/>
      <c r="W965" s="15"/>
    </row>
    <row r="966">
      <c r="J966" s="15"/>
      <c r="V966" s="15"/>
      <c r="W966" s="15"/>
    </row>
    <row r="967">
      <c r="J967" s="15"/>
      <c r="V967" s="15"/>
      <c r="W967" s="15"/>
    </row>
    <row r="968">
      <c r="J968" s="15"/>
      <c r="V968" s="15"/>
      <c r="W968" s="15"/>
    </row>
    <row r="969">
      <c r="J969" s="15"/>
      <c r="V969" s="15"/>
      <c r="W969" s="15"/>
    </row>
    <row r="970">
      <c r="J970" s="15"/>
      <c r="V970" s="15"/>
      <c r="W970" s="15"/>
    </row>
    <row r="971">
      <c r="J971" s="15"/>
      <c r="V971" s="15"/>
      <c r="W971" s="15"/>
    </row>
    <row r="972">
      <c r="J972" s="15"/>
      <c r="V972" s="15"/>
      <c r="W972" s="15"/>
    </row>
    <row r="973">
      <c r="J973" s="15"/>
      <c r="V973" s="15"/>
      <c r="W973" s="15"/>
    </row>
    <row r="974">
      <c r="J974" s="15"/>
      <c r="V974" s="15"/>
      <c r="W974" s="15"/>
    </row>
    <row r="975">
      <c r="J975" s="15"/>
      <c r="V975" s="15"/>
      <c r="W975" s="15"/>
    </row>
    <row r="976">
      <c r="J976" s="15"/>
      <c r="V976" s="15"/>
      <c r="W976" s="15"/>
    </row>
    <row r="977">
      <c r="J977" s="15"/>
      <c r="V977" s="15"/>
      <c r="W977" s="15"/>
    </row>
    <row r="978">
      <c r="J978" s="15"/>
      <c r="V978" s="15"/>
      <c r="W978" s="15"/>
    </row>
    <row r="979">
      <c r="J979" s="15"/>
      <c r="V979" s="15"/>
      <c r="W979" s="15"/>
    </row>
    <row r="980">
      <c r="J980" s="15"/>
      <c r="V980" s="15"/>
      <c r="W980" s="15"/>
    </row>
    <row r="981">
      <c r="J981" s="15"/>
      <c r="V981" s="15"/>
      <c r="W981" s="15"/>
    </row>
    <row r="982">
      <c r="J982" s="15"/>
      <c r="V982" s="15"/>
      <c r="W982" s="15"/>
    </row>
    <row r="983">
      <c r="J983" s="15"/>
      <c r="V983" s="15"/>
      <c r="W983" s="15"/>
    </row>
    <row r="984">
      <c r="J984" s="15"/>
      <c r="V984" s="15"/>
      <c r="W984" s="15"/>
    </row>
    <row r="985">
      <c r="J985" s="15"/>
      <c r="V985" s="15"/>
      <c r="W985" s="15"/>
    </row>
    <row r="986">
      <c r="J986" s="15"/>
      <c r="V986" s="15"/>
      <c r="W986" s="15"/>
    </row>
    <row r="987">
      <c r="J987" s="15"/>
      <c r="V987" s="15"/>
      <c r="W987" s="15"/>
    </row>
    <row r="988">
      <c r="J988" s="15"/>
      <c r="V988" s="15"/>
      <c r="W988" s="15"/>
    </row>
    <row r="989">
      <c r="J989" s="15"/>
      <c r="V989" s="15"/>
      <c r="W989" s="15"/>
    </row>
    <row r="990">
      <c r="J990" s="15"/>
      <c r="V990" s="15"/>
      <c r="W990" s="15"/>
    </row>
    <row r="991">
      <c r="J991" s="15"/>
      <c r="V991" s="15"/>
      <c r="W991" s="15"/>
    </row>
    <row r="992">
      <c r="J992" s="15"/>
      <c r="V992" s="15"/>
      <c r="W992" s="15"/>
    </row>
    <row r="993">
      <c r="J993" s="15"/>
      <c r="V993" s="15"/>
      <c r="W993" s="15"/>
    </row>
    <row r="994">
      <c r="J994" s="15"/>
      <c r="V994" s="15"/>
      <c r="W994" s="15"/>
    </row>
    <row r="995">
      <c r="J995" s="15"/>
      <c r="V995" s="15"/>
      <c r="W995" s="15"/>
    </row>
    <row r="996">
      <c r="J996" s="15"/>
      <c r="V996" s="15"/>
      <c r="W996" s="15"/>
    </row>
    <row r="997">
      <c r="J997" s="15"/>
      <c r="V997" s="15"/>
      <c r="W997" s="15"/>
    </row>
    <row r="998">
      <c r="J998" s="15"/>
      <c r="V998" s="15"/>
      <c r="W998" s="15"/>
    </row>
  </sheetData>
  <autoFilter ref="$B$6:$J$36"/>
  <mergeCells count="4">
    <mergeCell ref="B2:C2"/>
    <mergeCell ref="L6:O6"/>
    <mergeCell ref="Q6:R6"/>
    <mergeCell ref="T6:X6"/>
  </mergeCells>
  <conditionalFormatting sqref="G7:G36">
    <cfRule type="colorScale" priority="1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C6:C34">
    <cfRule type="colorScale" priority="2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U8:U13">
    <cfRule type="cellIs" dxfId="0" priority="3" operator="lessThanOrEqual">
      <formula>MEDIAN($C$7:$C$34)</formula>
    </cfRule>
  </conditionalFormatting>
  <conditionalFormatting sqref="U8:U13">
    <cfRule type="cellIs" dxfId="1" priority="4" operator="greaterThan">
      <formula>MEDIAN($C$7:$C$34)</formula>
    </cfRule>
  </conditionalFormatting>
  <conditionalFormatting sqref="R9">
    <cfRule type="cellIs" dxfId="0" priority="5" operator="lessThanOrEqual">
      <formula>COUNT($B:$B) - (#REF! + #REF!)</formula>
    </cfRule>
  </conditionalFormatting>
  <conditionalFormatting sqref="R9">
    <cfRule type="cellIs" dxfId="1" priority="6" operator="greaterThan">
      <formula>COUNT($B:$B) - (#REF! + #REF!)</formula>
    </cfRule>
  </conditionalFormatting>
  <conditionalFormatting sqref="J7:J36">
    <cfRule type="cellIs" dxfId="0" priority="7" operator="equal">
      <formula>"Sim"</formula>
    </cfRule>
  </conditionalFormatting>
  <conditionalFormatting sqref="J7:J36">
    <cfRule type="cellIs" dxfId="1" priority="8" operator="equal">
      <formula>"Não"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13"/>
    <col customWidth="1" min="2" max="2" width="12.63"/>
    <col customWidth="1" min="3" max="3" width="10.88"/>
    <col customWidth="1" min="4" max="4" width="11.5"/>
    <col customWidth="1" min="5" max="6" width="8.38"/>
    <col customWidth="1" min="7" max="7" width="11.13"/>
    <col customWidth="1" min="8" max="9" width="10.0"/>
    <col customWidth="1" min="10" max="10" width="9.5"/>
    <col customWidth="1" min="11" max="11" width="1.5"/>
    <col customWidth="1" min="12" max="12" width="11.88"/>
    <col customWidth="1" min="13" max="13" width="10.25"/>
    <col customWidth="1" min="14" max="14" width="5.13"/>
    <col customWidth="1" min="15" max="15" width="10.13"/>
    <col customWidth="1" min="16" max="16" width="1.5"/>
    <col customWidth="1" min="17" max="17" width="14.38"/>
    <col customWidth="1" min="18" max="18" width="10.88"/>
    <col customWidth="1" min="19" max="19" width="1.38"/>
    <col customWidth="1" min="20" max="20" width="9.25"/>
    <col customWidth="1" min="21" max="21" width="9.13"/>
    <col customWidth="1" min="22" max="22" width="4.63"/>
    <col customWidth="1" min="23" max="23" width="8.38"/>
    <col customWidth="1" min="24" max="24" width="7.75"/>
    <col customWidth="1" min="25" max="25" width="2.63"/>
  </cols>
  <sheetData>
    <row r="1">
      <c r="J1" s="15"/>
      <c r="V1" s="15"/>
      <c r="W1" s="15"/>
    </row>
    <row r="2" ht="22.5" customHeight="1">
      <c r="B2" s="68" t="s">
        <v>40</v>
      </c>
      <c r="C2" s="27"/>
      <c r="J2" s="15"/>
      <c r="V2" s="15"/>
      <c r="W2" s="15"/>
    </row>
    <row r="3">
      <c r="B3" s="69" t="s">
        <v>41</v>
      </c>
      <c r="C3" s="70"/>
      <c r="J3" s="15"/>
      <c r="V3" s="15"/>
      <c r="W3" s="15"/>
    </row>
    <row r="4">
      <c r="B4" s="69" t="s">
        <v>42</v>
      </c>
      <c r="C4" s="71"/>
      <c r="J4" s="15"/>
      <c r="V4" s="15"/>
      <c r="W4" s="15"/>
    </row>
    <row r="5">
      <c r="C5" s="1"/>
      <c r="J5" s="15"/>
      <c r="V5" s="15"/>
      <c r="W5" s="15"/>
    </row>
    <row r="6" ht="35.25" customHeight="1">
      <c r="A6" s="72"/>
      <c r="B6" s="73" t="s">
        <v>25</v>
      </c>
      <c r="C6" s="73" t="s">
        <v>43</v>
      </c>
      <c r="D6" s="73" t="s">
        <v>44</v>
      </c>
      <c r="E6" s="73" t="s">
        <v>45</v>
      </c>
      <c r="F6" s="73" t="s">
        <v>46</v>
      </c>
      <c r="G6" s="73" t="s">
        <v>47</v>
      </c>
      <c r="H6" s="73" t="s">
        <v>48</v>
      </c>
      <c r="I6" s="73" t="s">
        <v>49</v>
      </c>
      <c r="J6" s="73" t="s">
        <v>50</v>
      </c>
      <c r="L6" s="74" t="s">
        <v>51</v>
      </c>
      <c r="M6" s="26"/>
      <c r="N6" s="26"/>
      <c r="O6" s="27"/>
      <c r="Q6" s="74" t="s">
        <v>52</v>
      </c>
      <c r="R6" s="27"/>
      <c r="S6" s="72"/>
      <c r="T6" s="72"/>
    </row>
    <row r="7">
      <c r="A7" s="39"/>
      <c r="B7" s="39">
        <v>46357.0</v>
      </c>
      <c r="C7" s="75"/>
      <c r="D7" s="75"/>
      <c r="E7" s="75"/>
      <c r="F7" s="75"/>
      <c r="G7" s="56" t="str">
        <f t="shared" ref="G7:G36" si="1">IF(SUM(D7:F7) = 0, , (SUM(D7:F7)))</f>
        <v/>
      </c>
      <c r="H7" s="76" t="str">
        <f t="shared" ref="H7:H34" si="2">IFERROR(G7/C7, )</f>
        <v/>
      </c>
      <c r="I7" s="77">
        <f t="shared" ref="I7:I36" si="3">IFERROR(H7/25 * ($C$3/10), )</f>
        <v>0</v>
      </c>
      <c r="J7" s="41" t="str">
        <f t="shared" ref="J7:J36" si="4">IF(B7 &gt; TODAY(), "", IF(G7 = "", "Não", "Sim"))
</f>
        <v/>
      </c>
      <c r="L7" s="78"/>
      <c r="M7" s="79" t="s">
        <v>53</v>
      </c>
      <c r="N7" s="80" t="s">
        <v>54</v>
      </c>
      <c r="O7" s="81" t="s">
        <v>55</v>
      </c>
      <c r="Q7" s="82"/>
      <c r="R7" s="69" t="s">
        <v>56</v>
      </c>
      <c r="T7" s="2"/>
      <c r="U7" s="2"/>
      <c r="V7" s="2"/>
      <c r="W7" s="2"/>
      <c r="X7" s="83"/>
      <c r="Y7" s="2"/>
    </row>
    <row r="8">
      <c r="A8" s="39"/>
      <c r="B8" s="39">
        <v>46358.0</v>
      </c>
      <c r="C8" s="75"/>
      <c r="D8" s="75"/>
      <c r="E8" s="75"/>
      <c r="F8" s="75"/>
      <c r="G8" s="56" t="str">
        <f t="shared" si="1"/>
        <v/>
      </c>
      <c r="H8" s="76" t="str">
        <f t="shared" si="2"/>
        <v/>
      </c>
      <c r="I8" s="77">
        <f t="shared" si="3"/>
        <v>0</v>
      </c>
      <c r="J8" s="41" t="str">
        <f t="shared" si="4"/>
        <v/>
      </c>
      <c r="L8" s="84" t="s">
        <v>0</v>
      </c>
      <c r="M8" s="85" t="str">
        <f> IFERROR(MEDIAN(C7:C998), )</f>
        <v/>
      </c>
      <c r="N8" s="86"/>
      <c r="O8" s="87"/>
      <c r="P8" s="88"/>
      <c r="Q8" s="89" t="s">
        <v>57</v>
      </c>
      <c r="R8" s="17">
        <f>Count(B:B)</f>
        <v>31</v>
      </c>
      <c r="T8" s="90"/>
      <c r="U8" s="91"/>
      <c r="V8" s="2"/>
      <c r="W8" s="91"/>
      <c r="X8" s="92"/>
      <c r="Y8" s="56"/>
    </row>
    <row r="9">
      <c r="A9" s="39"/>
      <c r="B9" s="39">
        <v>46359.0</v>
      </c>
      <c r="C9" s="75"/>
      <c r="D9" s="75"/>
      <c r="E9" s="75"/>
      <c r="F9" s="75"/>
      <c r="G9" s="56" t="str">
        <f t="shared" si="1"/>
        <v/>
      </c>
      <c r="H9" s="76" t="str">
        <f t="shared" si="2"/>
        <v/>
      </c>
      <c r="I9" s="77">
        <f t="shared" si="3"/>
        <v>0</v>
      </c>
      <c r="J9" s="41" t="str">
        <f t="shared" si="4"/>
        <v/>
      </c>
      <c r="L9" s="89" t="s">
        <v>2</v>
      </c>
      <c r="M9" s="56" t="str">
        <f t="shared" ref="M9:N9" si="5"> IFERROR(MEDIAN(G7:G998), )</f>
        <v/>
      </c>
      <c r="N9" s="56" t="str">
        <f t="shared" si="5"/>
        <v/>
      </c>
      <c r="O9" s="93">
        <f> IFERROR($N$9 * ($C$3/10)  / 25, )</f>
        <v>0</v>
      </c>
      <c r="P9" s="88"/>
      <c r="Q9" s="89" t="s">
        <v>58</v>
      </c>
      <c r="R9" s="17">
        <f>COUNTIF(J:J, "=Sim")</f>
        <v>0</v>
      </c>
      <c r="T9" s="90"/>
      <c r="U9" s="91"/>
      <c r="V9" s="2"/>
      <c r="W9" s="91"/>
      <c r="X9" s="92"/>
      <c r="Y9" s="56"/>
    </row>
    <row r="10">
      <c r="A10" s="39"/>
      <c r="B10" s="39">
        <v>46360.0</v>
      </c>
      <c r="C10" s="75"/>
      <c r="D10" s="75"/>
      <c r="E10" s="75"/>
      <c r="F10" s="75"/>
      <c r="G10" s="56" t="str">
        <f t="shared" si="1"/>
        <v/>
      </c>
      <c r="H10" s="76" t="str">
        <f t="shared" si="2"/>
        <v/>
      </c>
      <c r="I10" s="77">
        <f t="shared" si="3"/>
        <v>0</v>
      </c>
      <c r="J10" s="41" t="str">
        <f t="shared" si="4"/>
        <v/>
      </c>
      <c r="L10" s="89" t="s">
        <v>59</v>
      </c>
      <c r="M10" s="94">
        <f>IFERROR(SUM(G7:G998), )</f>
        <v>0</v>
      </c>
      <c r="N10" s="95" t="str">
        <f> IFERROR($M$10 / $M$8, )</f>
        <v/>
      </c>
      <c r="O10" s="93">
        <f> IFERROR($N$10 * ($C$3/10)  / 25, )</f>
        <v>0</v>
      </c>
      <c r="P10" s="88"/>
      <c r="Q10" s="89" t="s">
        <v>60</v>
      </c>
      <c r="R10" s="96" t="str">
        <f>IFERROR(M12/M9, )</f>
        <v/>
      </c>
      <c r="T10" s="90"/>
      <c r="U10" s="91"/>
      <c r="V10" s="2"/>
      <c r="W10" s="91"/>
      <c r="X10" s="92"/>
      <c r="Y10" s="56"/>
    </row>
    <row r="11">
      <c r="A11" s="39"/>
      <c r="B11" s="39">
        <v>46361.0</v>
      </c>
      <c r="C11" s="75"/>
      <c r="D11" s="75"/>
      <c r="E11" s="75"/>
      <c r="F11" s="75"/>
      <c r="G11" s="56" t="str">
        <f t="shared" si="1"/>
        <v/>
      </c>
      <c r="H11" s="76" t="str">
        <f t="shared" si="2"/>
        <v/>
      </c>
      <c r="I11" s="77">
        <f t="shared" si="3"/>
        <v>0</v>
      </c>
      <c r="J11" s="41" t="str">
        <f t="shared" si="4"/>
        <v/>
      </c>
      <c r="L11" s="89" t="s">
        <v>61</v>
      </c>
      <c r="M11" s="75">
        <f> IFERROR($N$11 * $M$8, )</f>
        <v>0</v>
      </c>
      <c r="N11" s="98" t="str">
        <f> IFERROR($C$4, )</f>
        <v/>
      </c>
      <c r="O11" s="93">
        <f> IFERROR($N$11 * ($C$3/10)  / 25,"")</f>
        <v>0</v>
      </c>
      <c r="Q11" s="89" t="s">
        <v>62</v>
      </c>
      <c r="R11" s="17">
        <f>COUNTIF($J:$J, "=Não")</f>
        <v>0</v>
      </c>
      <c r="T11" s="90"/>
      <c r="U11" s="91"/>
      <c r="V11" s="2"/>
      <c r="W11" s="91"/>
      <c r="X11" s="92"/>
      <c r="Y11" s="56"/>
    </row>
    <row r="12">
      <c r="A12" s="39"/>
      <c r="B12" s="39">
        <v>46362.0</v>
      </c>
      <c r="C12" s="75"/>
      <c r="D12" s="75"/>
      <c r="E12" s="56"/>
      <c r="F12" s="75"/>
      <c r="G12" s="56" t="str">
        <f t="shared" si="1"/>
        <v/>
      </c>
      <c r="H12" s="76" t="str">
        <f t="shared" si="2"/>
        <v/>
      </c>
      <c r="I12" s="77">
        <f t="shared" si="3"/>
        <v>0</v>
      </c>
      <c r="J12" s="41" t="str">
        <f t="shared" si="4"/>
        <v/>
      </c>
      <c r="L12" s="89" t="s">
        <v>63</v>
      </c>
      <c r="M12" s="56">
        <f> IFERROR($M$11 - $M$10, )</f>
        <v>0</v>
      </c>
      <c r="N12" s="56">
        <f>N11 - N10</f>
        <v>0</v>
      </c>
      <c r="O12" s="93">
        <f> IFERROR($N$12 * ($C$3/10)  / 25, )</f>
        <v>0</v>
      </c>
      <c r="Q12" s="89" t="s">
        <v>64</v>
      </c>
      <c r="R12" s="96">
        <f>R8 - R9 - R10</f>
        <v>31</v>
      </c>
      <c r="T12" s="90"/>
      <c r="U12" s="91"/>
      <c r="V12" s="2"/>
      <c r="W12" s="91"/>
      <c r="X12" s="92"/>
      <c r="Y12" s="56"/>
    </row>
    <row r="13">
      <c r="A13" s="39"/>
      <c r="B13" s="39">
        <v>46363.0</v>
      </c>
      <c r="C13" s="75"/>
      <c r="D13" s="75"/>
      <c r="E13" s="75"/>
      <c r="F13" s="75"/>
      <c r="G13" s="56" t="str">
        <f t="shared" si="1"/>
        <v/>
      </c>
      <c r="H13" s="76" t="str">
        <f t="shared" si="2"/>
        <v/>
      </c>
      <c r="I13" s="77">
        <f t="shared" si="3"/>
        <v>0</v>
      </c>
      <c r="J13" s="41" t="str">
        <f t="shared" si="4"/>
        <v/>
      </c>
      <c r="L13" s="99"/>
      <c r="M13" s="100"/>
      <c r="N13" s="100"/>
      <c r="O13" s="101"/>
      <c r="Q13" s="99" t="s">
        <v>7</v>
      </c>
      <c r="R13" s="23" t="str">
        <f>IF(M10 &gt;= M11, "🔵 Concluído", IF((R8-R9)-R10-R11&gt;=2, "🟢 Seguro", IF((R8-R9)-R10-R11&gt;=0, "🟡 Atenção", "🔴 Risco")))</f>
        <v>🔵 Concluído</v>
      </c>
      <c r="T13" s="90"/>
      <c r="U13" s="91"/>
      <c r="V13" s="2"/>
      <c r="W13" s="91"/>
      <c r="X13" s="92"/>
      <c r="Y13" s="56"/>
    </row>
    <row r="14">
      <c r="A14" s="39"/>
      <c r="B14" s="39">
        <v>46364.0</v>
      </c>
      <c r="C14" s="75"/>
      <c r="D14" s="75"/>
      <c r="E14" s="75"/>
      <c r="F14" s="75"/>
      <c r="G14" s="56" t="str">
        <f t="shared" si="1"/>
        <v/>
      </c>
      <c r="H14" s="76" t="str">
        <f t="shared" si="2"/>
        <v/>
      </c>
      <c r="I14" s="77">
        <f t="shared" si="3"/>
        <v>0</v>
      </c>
      <c r="J14" s="41" t="str">
        <f t="shared" si="4"/>
        <v/>
      </c>
      <c r="L14" s="1"/>
      <c r="M14" s="1"/>
      <c r="N14" s="1"/>
      <c r="O14" s="1"/>
      <c r="Q14" s="1"/>
      <c r="R14" s="15"/>
      <c r="V14" s="15"/>
      <c r="W14" s="15"/>
      <c r="Y14" s="56"/>
    </row>
    <row r="15">
      <c r="A15" s="39"/>
      <c r="B15" s="39">
        <v>46365.0</v>
      </c>
      <c r="C15" s="75"/>
      <c r="D15" s="75"/>
      <c r="E15" s="75"/>
      <c r="F15" s="75"/>
      <c r="G15" s="56" t="str">
        <f t="shared" si="1"/>
        <v/>
      </c>
      <c r="H15" s="76" t="str">
        <f t="shared" si="2"/>
        <v/>
      </c>
      <c r="I15" s="77">
        <f t="shared" si="3"/>
        <v>0</v>
      </c>
      <c r="J15" s="41" t="str">
        <f t="shared" si="4"/>
        <v/>
      </c>
      <c r="L15" s="1"/>
      <c r="V15" s="15"/>
      <c r="W15" s="15"/>
    </row>
    <row r="16">
      <c r="A16" s="39"/>
      <c r="B16" s="39">
        <v>46366.0</v>
      </c>
      <c r="C16" s="75"/>
      <c r="D16" s="75"/>
      <c r="E16" s="75"/>
      <c r="F16" s="75"/>
      <c r="G16" s="56" t="str">
        <f t="shared" si="1"/>
        <v/>
      </c>
      <c r="H16" s="76" t="str">
        <f t="shared" si="2"/>
        <v/>
      </c>
      <c r="I16" s="77">
        <f t="shared" si="3"/>
        <v>0</v>
      </c>
      <c r="J16" s="41" t="str">
        <f t="shared" si="4"/>
        <v/>
      </c>
      <c r="N16" s="102"/>
      <c r="V16" s="15"/>
      <c r="W16" s="15"/>
    </row>
    <row r="17">
      <c r="A17" s="39"/>
      <c r="B17" s="39">
        <v>46367.0</v>
      </c>
      <c r="C17" s="75"/>
      <c r="D17" s="75"/>
      <c r="E17" s="75"/>
      <c r="F17" s="75"/>
      <c r="G17" s="56" t="str">
        <f t="shared" si="1"/>
        <v/>
      </c>
      <c r="H17" s="76" t="str">
        <f t="shared" si="2"/>
        <v/>
      </c>
      <c r="I17" s="77">
        <f t="shared" si="3"/>
        <v>0</v>
      </c>
      <c r="J17" s="41" t="str">
        <f t="shared" si="4"/>
        <v/>
      </c>
      <c r="V17" s="15"/>
      <c r="W17" s="15"/>
    </row>
    <row r="18">
      <c r="A18" s="39"/>
      <c r="B18" s="39">
        <v>46368.0</v>
      </c>
      <c r="C18" s="56"/>
      <c r="D18" s="56"/>
      <c r="E18" s="56"/>
      <c r="F18" s="56"/>
      <c r="G18" s="56" t="str">
        <f t="shared" si="1"/>
        <v/>
      </c>
      <c r="H18" s="76" t="str">
        <f t="shared" si="2"/>
        <v/>
      </c>
      <c r="I18" s="77">
        <f t="shared" si="3"/>
        <v>0</v>
      </c>
      <c r="J18" s="41" t="str">
        <f t="shared" si="4"/>
        <v/>
      </c>
      <c r="V18" s="15"/>
      <c r="W18" s="15"/>
    </row>
    <row r="19">
      <c r="A19" s="39"/>
      <c r="B19" s="39">
        <v>46369.0</v>
      </c>
      <c r="C19" s="56"/>
      <c r="D19" s="56"/>
      <c r="E19" s="56"/>
      <c r="F19" s="56"/>
      <c r="G19" s="56" t="str">
        <f t="shared" si="1"/>
        <v/>
      </c>
      <c r="H19" s="76" t="str">
        <f t="shared" si="2"/>
        <v/>
      </c>
      <c r="I19" s="77">
        <f t="shared" si="3"/>
        <v>0</v>
      </c>
      <c r="J19" s="41" t="str">
        <f t="shared" si="4"/>
        <v/>
      </c>
      <c r="V19" s="15"/>
      <c r="W19" s="15"/>
    </row>
    <row r="20">
      <c r="A20" s="39"/>
      <c r="B20" s="39">
        <v>46370.0</v>
      </c>
      <c r="C20" s="56"/>
      <c r="D20" s="56"/>
      <c r="E20" s="56"/>
      <c r="F20" s="56"/>
      <c r="G20" s="56" t="str">
        <f t="shared" si="1"/>
        <v/>
      </c>
      <c r="H20" s="76" t="str">
        <f t="shared" si="2"/>
        <v/>
      </c>
      <c r="I20" s="77">
        <f t="shared" si="3"/>
        <v>0</v>
      </c>
      <c r="J20" s="41" t="str">
        <f t="shared" si="4"/>
        <v/>
      </c>
      <c r="V20" s="15"/>
      <c r="W20" s="15"/>
    </row>
    <row r="21">
      <c r="A21" s="39"/>
      <c r="B21" s="39">
        <v>46371.0</v>
      </c>
      <c r="C21" s="56"/>
      <c r="D21" s="56"/>
      <c r="E21" s="56"/>
      <c r="F21" s="56"/>
      <c r="G21" s="56" t="str">
        <f t="shared" si="1"/>
        <v/>
      </c>
      <c r="H21" s="76" t="str">
        <f t="shared" si="2"/>
        <v/>
      </c>
      <c r="I21" s="77">
        <f t="shared" si="3"/>
        <v>0</v>
      </c>
      <c r="J21" s="41" t="str">
        <f t="shared" si="4"/>
        <v/>
      </c>
      <c r="V21" s="15"/>
      <c r="W21" s="15"/>
    </row>
    <row r="22">
      <c r="A22" s="39"/>
      <c r="B22" s="39">
        <v>46372.0</v>
      </c>
      <c r="C22" s="56"/>
      <c r="D22" s="56"/>
      <c r="E22" s="56"/>
      <c r="F22" s="56"/>
      <c r="G22" s="56" t="str">
        <f t="shared" si="1"/>
        <v/>
      </c>
      <c r="H22" s="76" t="str">
        <f t="shared" si="2"/>
        <v/>
      </c>
      <c r="I22" s="77">
        <f t="shared" si="3"/>
        <v>0</v>
      </c>
      <c r="J22" s="41" t="str">
        <f t="shared" si="4"/>
        <v/>
      </c>
      <c r="V22" s="15"/>
      <c r="W22" s="15"/>
    </row>
    <row r="23">
      <c r="A23" s="39"/>
      <c r="B23" s="39">
        <v>46373.0</v>
      </c>
      <c r="C23" s="56"/>
      <c r="D23" s="56"/>
      <c r="E23" s="56"/>
      <c r="F23" s="56"/>
      <c r="G23" s="56" t="str">
        <f t="shared" si="1"/>
        <v/>
      </c>
      <c r="H23" s="76" t="str">
        <f t="shared" si="2"/>
        <v/>
      </c>
      <c r="I23" s="77">
        <f t="shared" si="3"/>
        <v>0</v>
      </c>
      <c r="J23" s="41" t="str">
        <f t="shared" si="4"/>
        <v/>
      </c>
      <c r="V23" s="15"/>
      <c r="W23" s="15"/>
    </row>
    <row r="24">
      <c r="A24" s="39"/>
      <c r="B24" s="39">
        <v>46374.0</v>
      </c>
      <c r="C24" s="56"/>
      <c r="D24" s="56"/>
      <c r="E24" s="56"/>
      <c r="F24" s="56"/>
      <c r="G24" s="56" t="str">
        <f t="shared" si="1"/>
        <v/>
      </c>
      <c r="H24" s="76" t="str">
        <f t="shared" si="2"/>
        <v/>
      </c>
      <c r="I24" s="77">
        <f t="shared" si="3"/>
        <v>0</v>
      </c>
      <c r="J24" s="41" t="str">
        <f t="shared" si="4"/>
        <v/>
      </c>
      <c r="N24" s="1"/>
      <c r="V24" s="15"/>
      <c r="W24" s="15"/>
    </row>
    <row r="25">
      <c r="A25" s="39"/>
      <c r="B25" s="39">
        <v>46375.0</v>
      </c>
      <c r="C25" s="75"/>
      <c r="D25" s="56"/>
      <c r="E25" s="75"/>
      <c r="F25" s="75"/>
      <c r="G25" s="56" t="str">
        <f t="shared" si="1"/>
        <v/>
      </c>
      <c r="H25" s="76" t="str">
        <f t="shared" si="2"/>
        <v/>
      </c>
      <c r="I25" s="77">
        <f t="shared" si="3"/>
        <v>0</v>
      </c>
      <c r="J25" s="41" t="str">
        <f t="shared" si="4"/>
        <v/>
      </c>
      <c r="V25" s="15"/>
      <c r="W25" s="15"/>
    </row>
    <row r="26">
      <c r="A26" s="39"/>
      <c r="B26" s="39">
        <v>46376.0</v>
      </c>
      <c r="C26" s="75"/>
      <c r="D26" s="56"/>
      <c r="E26" s="56"/>
      <c r="F26" s="75"/>
      <c r="G26" s="56" t="str">
        <f t="shared" si="1"/>
        <v/>
      </c>
      <c r="H26" s="76" t="str">
        <f t="shared" si="2"/>
        <v/>
      </c>
      <c r="I26" s="77">
        <f t="shared" si="3"/>
        <v>0</v>
      </c>
      <c r="J26" s="41" t="str">
        <f t="shared" si="4"/>
        <v/>
      </c>
      <c r="V26" s="15"/>
      <c r="W26" s="15"/>
    </row>
    <row r="27">
      <c r="A27" s="39"/>
      <c r="B27" s="39">
        <v>46377.0</v>
      </c>
      <c r="C27" s="75"/>
      <c r="D27" s="75"/>
      <c r="E27" s="75"/>
      <c r="F27" s="75"/>
      <c r="G27" s="56" t="str">
        <f t="shared" si="1"/>
        <v/>
      </c>
      <c r="H27" s="76" t="str">
        <f t="shared" si="2"/>
        <v/>
      </c>
      <c r="I27" s="77">
        <f t="shared" si="3"/>
        <v>0</v>
      </c>
      <c r="J27" s="41" t="str">
        <f t="shared" si="4"/>
        <v/>
      </c>
      <c r="V27" s="15"/>
      <c r="W27" s="15"/>
    </row>
    <row r="28">
      <c r="A28" s="39"/>
      <c r="B28" s="39">
        <v>46378.0</v>
      </c>
      <c r="C28" s="75"/>
      <c r="D28" s="56"/>
      <c r="E28" s="56"/>
      <c r="F28" s="75"/>
      <c r="G28" s="56" t="str">
        <f t="shared" si="1"/>
        <v/>
      </c>
      <c r="H28" s="104" t="str">
        <f t="shared" si="2"/>
        <v/>
      </c>
      <c r="I28" s="77">
        <f t="shared" si="3"/>
        <v>0</v>
      </c>
      <c r="J28" s="41" t="str">
        <f t="shared" si="4"/>
        <v/>
      </c>
      <c r="N28" s="1"/>
      <c r="V28" s="15"/>
      <c r="W28" s="15"/>
    </row>
    <row r="29">
      <c r="A29" s="39"/>
      <c r="B29" s="39">
        <v>46379.0</v>
      </c>
      <c r="C29" s="75"/>
      <c r="D29" s="56"/>
      <c r="E29" s="56"/>
      <c r="F29" s="75"/>
      <c r="G29" s="56" t="str">
        <f t="shared" si="1"/>
        <v/>
      </c>
      <c r="H29" s="104" t="str">
        <f t="shared" si="2"/>
        <v/>
      </c>
      <c r="I29" s="77">
        <f t="shared" si="3"/>
        <v>0</v>
      </c>
      <c r="J29" s="41" t="str">
        <f t="shared" si="4"/>
        <v/>
      </c>
      <c r="V29" s="15"/>
      <c r="W29" s="15"/>
    </row>
    <row r="30">
      <c r="A30" s="39"/>
      <c r="B30" s="39">
        <v>46380.0</v>
      </c>
      <c r="C30" s="56"/>
      <c r="D30" s="56"/>
      <c r="E30" s="56"/>
      <c r="F30" s="56"/>
      <c r="G30" s="56" t="str">
        <f t="shared" si="1"/>
        <v/>
      </c>
      <c r="H30" s="104" t="str">
        <f t="shared" si="2"/>
        <v/>
      </c>
      <c r="I30" s="77">
        <f t="shared" si="3"/>
        <v>0</v>
      </c>
      <c r="J30" s="41" t="str">
        <f t="shared" si="4"/>
        <v/>
      </c>
      <c r="V30" s="15"/>
      <c r="W30" s="15"/>
    </row>
    <row r="31">
      <c r="A31" s="39"/>
      <c r="B31" s="39">
        <v>46381.0</v>
      </c>
      <c r="C31" s="56"/>
      <c r="D31" s="56"/>
      <c r="E31" s="56"/>
      <c r="F31" s="56"/>
      <c r="G31" s="56" t="str">
        <f t="shared" si="1"/>
        <v/>
      </c>
      <c r="H31" s="104" t="str">
        <f t="shared" si="2"/>
        <v/>
      </c>
      <c r="I31" s="77">
        <f t="shared" si="3"/>
        <v>0</v>
      </c>
      <c r="J31" s="41" t="str">
        <f t="shared" si="4"/>
        <v/>
      </c>
      <c r="V31" s="15"/>
      <c r="W31" s="15"/>
    </row>
    <row r="32">
      <c r="A32" s="39"/>
      <c r="B32" s="39">
        <v>46382.0</v>
      </c>
      <c r="C32" s="56"/>
      <c r="D32" s="56"/>
      <c r="E32" s="56"/>
      <c r="F32" s="56"/>
      <c r="G32" s="56" t="str">
        <f t="shared" si="1"/>
        <v/>
      </c>
      <c r="H32" s="104" t="str">
        <f t="shared" si="2"/>
        <v/>
      </c>
      <c r="I32" s="77">
        <f t="shared" si="3"/>
        <v>0</v>
      </c>
      <c r="J32" s="41" t="str">
        <f t="shared" si="4"/>
        <v/>
      </c>
      <c r="V32" s="15"/>
      <c r="W32" s="15"/>
    </row>
    <row r="33">
      <c r="A33" s="39"/>
      <c r="B33" s="39">
        <v>46383.0</v>
      </c>
      <c r="C33" s="56"/>
      <c r="D33" s="56"/>
      <c r="E33" s="56"/>
      <c r="F33" s="56"/>
      <c r="G33" s="56" t="str">
        <f t="shared" si="1"/>
        <v/>
      </c>
      <c r="H33" s="104" t="str">
        <f t="shared" si="2"/>
        <v/>
      </c>
      <c r="I33" s="77">
        <f t="shared" si="3"/>
        <v>0</v>
      </c>
      <c r="J33" s="41" t="str">
        <f t="shared" si="4"/>
        <v/>
      </c>
      <c r="V33" s="15"/>
      <c r="W33" s="15"/>
    </row>
    <row r="34">
      <c r="A34" s="39"/>
      <c r="B34" s="39">
        <v>46384.0</v>
      </c>
      <c r="C34" s="56"/>
      <c r="D34" s="56"/>
      <c r="E34" s="56"/>
      <c r="F34" s="56"/>
      <c r="G34" s="56" t="str">
        <f t="shared" si="1"/>
        <v/>
      </c>
      <c r="H34" s="104" t="str">
        <f t="shared" si="2"/>
        <v/>
      </c>
      <c r="I34" s="77">
        <f t="shared" si="3"/>
        <v>0</v>
      </c>
      <c r="J34" s="41" t="str">
        <f t="shared" si="4"/>
        <v/>
      </c>
      <c r="V34" s="15"/>
      <c r="W34" s="15"/>
    </row>
    <row r="35">
      <c r="B35" s="39">
        <v>46385.0</v>
      </c>
      <c r="G35" s="56" t="str">
        <f t="shared" si="1"/>
        <v/>
      </c>
      <c r="I35" s="77">
        <f t="shared" si="3"/>
        <v>0</v>
      </c>
      <c r="J35" s="41" t="str">
        <f t="shared" si="4"/>
        <v/>
      </c>
      <c r="V35" s="15"/>
      <c r="W35" s="15"/>
    </row>
    <row r="36">
      <c r="B36" s="39">
        <v>46386.0</v>
      </c>
      <c r="G36" s="56" t="str">
        <f t="shared" si="1"/>
        <v/>
      </c>
      <c r="H36" s="104" t="str">
        <f>IFERROR(G35/C35, )</f>
        <v/>
      </c>
      <c r="I36" s="77">
        <f t="shared" si="3"/>
        <v>0</v>
      </c>
      <c r="J36" s="41" t="str">
        <f t="shared" si="4"/>
        <v/>
      </c>
      <c r="V36" s="15"/>
      <c r="W36" s="15"/>
    </row>
    <row r="37">
      <c r="B37" s="39">
        <v>46387.0</v>
      </c>
      <c r="J37" s="15"/>
      <c r="V37" s="15"/>
      <c r="W37" s="15"/>
    </row>
    <row r="38">
      <c r="J38" s="15"/>
      <c r="V38" s="15"/>
      <c r="W38" s="15"/>
    </row>
    <row r="39">
      <c r="J39" s="15"/>
      <c r="V39" s="15"/>
      <c r="W39" s="15"/>
    </row>
    <row r="40">
      <c r="J40" s="15"/>
      <c r="V40" s="15"/>
      <c r="W40" s="15"/>
    </row>
    <row r="41">
      <c r="J41" s="15"/>
      <c r="V41" s="15"/>
      <c r="W41" s="15"/>
    </row>
    <row r="42">
      <c r="J42" s="15"/>
      <c r="V42" s="15"/>
      <c r="W42" s="15"/>
    </row>
    <row r="43">
      <c r="J43" s="15"/>
      <c r="V43" s="15"/>
      <c r="W43" s="15"/>
    </row>
    <row r="44">
      <c r="J44" s="15"/>
      <c r="V44" s="15"/>
      <c r="W44" s="15"/>
    </row>
    <row r="45">
      <c r="J45" s="15"/>
      <c r="V45" s="15"/>
      <c r="W45" s="15"/>
    </row>
    <row r="46">
      <c r="J46" s="15"/>
      <c r="V46" s="15"/>
      <c r="W46" s="15"/>
    </row>
    <row r="47">
      <c r="J47" s="15"/>
      <c r="V47" s="15"/>
      <c r="W47" s="15"/>
    </row>
    <row r="48">
      <c r="J48" s="15"/>
      <c r="V48" s="15"/>
      <c r="W48" s="15"/>
    </row>
    <row r="49">
      <c r="J49" s="15"/>
      <c r="V49" s="15"/>
      <c r="W49" s="15"/>
    </row>
    <row r="50">
      <c r="J50" s="15"/>
      <c r="V50" s="15"/>
      <c r="W50" s="15"/>
    </row>
    <row r="51">
      <c r="J51" s="15"/>
      <c r="V51" s="15"/>
      <c r="W51" s="15"/>
    </row>
    <row r="52">
      <c r="J52" s="15"/>
      <c r="V52" s="15"/>
      <c r="W52" s="15"/>
    </row>
    <row r="53">
      <c r="J53" s="15"/>
      <c r="V53" s="15"/>
      <c r="W53" s="15"/>
    </row>
    <row r="54">
      <c r="J54" s="15"/>
      <c r="V54" s="15"/>
      <c r="W54" s="15"/>
    </row>
    <row r="55">
      <c r="J55" s="15"/>
      <c r="V55" s="15"/>
      <c r="W55" s="15"/>
    </row>
    <row r="56">
      <c r="J56" s="15"/>
      <c r="V56" s="15"/>
      <c r="W56" s="15"/>
    </row>
    <row r="57">
      <c r="J57" s="15"/>
      <c r="V57" s="15"/>
      <c r="W57" s="15"/>
    </row>
    <row r="58">
      <c r="J58" s="15"/>
      <c r="V58" s="15"/>
      <c r="W58" s="15"/>
    </row>
    <row r="59">
      <c r="J59" s="15"/>
      <c r="V59" s="15"/>
      <c r="W59" s="15"/>
    </row>
    <row r="60">
      <c r="J60" s="15"/>
      <c r="V60" s="15"/>
      <c r="W60" s="15"/>
    </row>
    <row r="61">
      <c r="J61" s="15"/>
      <c r="V61" s="15"/>
      <c r="W61" s="15"/>
    </row>
    <row r="62">
      <c r="J62" s="15"/>
      <c r="V62" s="15"/>
      <c r="W62" s="15"/>
    </row>
    <row r="63">
      <c r="J63" s="15"/>
      <c r="V63" s="15"/>
      <c r="W63" s="15"/>
    </row>
    <row r="64">
      <c r="J64" s="15"/>
      <c r="V64" s="15"/>
      <c r="W64" s="15"/>
    </row>
    <row r="65">
      <c r="J65" s="15"/>
      <c r="V65" s="15"/>
      <c r="W65" s="15"/>
    </row>
    <row r="66">
      <c r="J66" s="15"/>
      <c r="V66" s="15"/>
      <c r="W66" s="15"/>
    </row>
    <row r="67">
      <c r="J67" s="15"/>
      <c r="V67" s="15"/>
      <c r="W67" s="15"/>
    </row>
    <row r="68">
      <c r="J68" s="15"/>
      <c r="V68" s="15"/>
      <c r="W68" s="15"/>
    </row>
    <row r="69">
      <c r="J69" s="15"/>
      <c r="V69" s="15"/>
      <c r="W69" s="15"/>
    </row>
    <row r="70">
      <c r="J70" s="15"/>
      <c r="V70" s="15"/>
      <c r="W70" s="15"/>
    </row>
    <row r="71">
      <c r="J71" s="15"/>
      <c r="V71" s="15"/>
      <c r="W71" s="15"/>
    </row>
    <row r="72">
      <c r="J72" s="15"/>
      <c r="V72" s="15"/>
      <c r="W72" s="15"/>
    </row>
    <row r="73">
      <c r="J73" s="15"/>
      <c r="V73" s="15"/>
      <c r="W73" s="15"/>
    </row>
    <row r="74">
      <c r="J74" s="15"/>
      <c r="V74" s="15"/>
      <c r="W74" s="15"/>
    </row>
    <row r="75">
      <c r="J75" s="15"/>
      <c r="V75" s="15"/>
      <c r="W75" s="15"/>
    </row>
    <row r="76">
      <c r="J76" s="15"/>
      <c r="V76" s="15"/>
      <c r="W76" s="15"/>
    </row>
    <row r="77">
      <c r="J77" s="15"/>
      <c r="V77" s="15"/>
      <c r="W77" s="15"/>
    </row>
    <row r="78">
      <c r="J78" s="15"/>
      <c r="V78" s="15"/>
      <c r="W78" s="15"/>
    </row>
    <row r="79">
      <c r="J79" s="15"/>
      <c r="V79" s="15"/>
      <c r="W79" s="15"/>
    </row>
    <row r="80">
      <c r="J80" s="15"/>
      <c r="V80" s="15"/>
      <c r="W80" s="15"/>
    </row>
    <row r="81">
      <c r="J81" s="15"/>
      <c r="V81" s="15"/>
      <c r="W81" s="15"/>
    </row>
    <row r="82">
      <c r="J82" s="15"/>
      <c r="V82" s="15"/>
      <c r="W82" s="15"/>
    </row>
    <row r="83">
      <c r="J83" s="15"/>
      <c r="V83" s="15"/>
      <c r="W83" s="15"/>
    </row>
    <row r="84">
      <c r="J84" s="15"/>
      <c r="V84" s="15"/>
      <c r="W84" s="15"/>
    </row>
    <row r="85">
      <c r="J85" s="15"/>
      <c r="V85" s="15"/>
      <c r="W85" s="15"/>
    </row>
    <row r="86">
      <c r="J86" s="15"/>
      <c r="V86" s="15"/>
      <c r="W86" s="15"/>
    </row>
    <row r="87">
      <c r="J87" s="15"/>
      <c r="V87" s="15"/>
      <c r="W87" s="15"/>
    </row>
    <row r="88">
      <c r="J88" s="15"/>
      <c r="V88" s="15"/>
      <c r="W88" s="15"/>
    </row>
    <row r="89">
      <c r="J89" s="15"/>
      <c r="V89" s="15"/>
      <c r="W89" s="15"/>
    </row>
    <row r="90">
      <c r="J90" s="15"/>
      <c r="V90" s="15"/>
      <c r="W90" s="15"/>
    </row>
    <row r="91">
      <c r="J91" s="15"/>
      <c r="V91" s="15"/>
      <c r="W91" s="15"/>
    </row>
    <row r="92">
      <c r="J92" s="15"/>
      <c r="V92" s="15"/>
      <c r="W92" s="15"/>
    </row>
    <row r="93">
      <c r="J93" s="15"/>
      <c r="V93" s="15"/>
      <c r="W93" s="15"/>
    </row>
    <row r="94">
      <c r="J94" s="15"/>
      <c r="V94" s="15"/>
      <c r="W94" s="15"/>
    </row>
    <row r="95">
      <c r="J95" s="15"/>
      <c r="V95" s="15"/>
      <c r="W95" s="15"/>
    </row>
    <row r="96">
      <c r="J96" s="15"/>
      <c r="V96" s="15"/>
      <c r="W96" s="15"/>
    </row>
    <row r="97">
      <c r="J97" s="15"/>
      <c r="V97" s="15"/>
      <c r="W97" s="15"/>
    </row>
    <row r="98">
      <c r="J98" s="15"/>
      <c r="V98" s="15"/>
      <c r="W98" s="15"/>
    </row>
    <row r="99">
      <c r="J99" s="15"/>
      <c r="V99" s="15"/>
      <c r="W99" s="15"/>
    </row>
    <row r="100">
      <c r="J100" s="15"/>
      <c r="V100" s="15"/>
      <c r="W100" s="15"/>
    </row>
    <row r="101">
      <c r="J101" s="15"/>
      <c r="V101" s="15"/>
      <c r="W101" s="15"/>
    </row>
    <row r="102">
      <c r="J102" s="15"/>
      <c r="V102" s="15"/>
      <c r="W102" s="15"/>
    </row>
    <row r="103">
      <c r="J103" s="15"/>
      <c r="V103" s="15"/>
      <c r="W103" s="15"/>
    </row>
    <row r="104">
      <c r="J104" s="15"/>
      <c r="V104" s="15"/>
      <c r="W104" s="15"/>
    </row>
    <row r="105">
      <c r="J105" s="15"/>
      <c r="V105" s="15"/>
      <c r="W105" s="15"/>
    </row>
    <row r="106">
      <c r="J106" s="15"/>
      <c r="V106" s="15"/>
      <c r="W106" s="15"/>
    </row>
    <row r="107">
      <c r="J107" s="15"/>
      <c r="V107" s="15"/>
      <c r="W107" s="15"/>
    </row>
    <row r="108">
      <c r="J108" s="15"/>
      <c r="V108" s="15"/>
      <c r="W108" s="15"/>
    </row>
    <row r="109">
      <c r="J109" s="15"/>
      <c r="V109" s="15"/>
      <c r="W109" s="15"/>
    </row>
    <row r="110">
      <c r="J110" s="15"/>
      <c r="V110" s="15"/>
      <c r="W110" s="15"/>
    </row>
    <row r="111">
      <c r="J111" s="15"/>
      <c r="V111" s="15"/>
      <c r="W111" s="15"/>
    </row>
    <row r="112">
      <c r="J112" s="15"/>
      <c r="V112" s="15"/>
      <c r="W112" s="15"/>
    </row>
    <row r="113">
      <c r="J113" s="15"/>
      <c r="V113" s="15"/>
      <c r="W113" s="15"/>
    </row>
    <row r="114">
      <c r="J114" s="15"/>
      <c r="V114" s="15"/>
      <c r="W114" s="15"/>
    </row>
    <row r="115">
      <c r="J115" s="15"/>
      <c r="V115" s="15"/>
      <c r="W115" s="15"/>
    </row>
    <row r="116">
      <c r="J116" s="15"/>
      <c r="V116" s="15"/>
      <c r="W116" s="15"/>
    </row>
    <row r="117">
      <c r="J117" s="15"/>
      <c r="V117" s="15"/>
      <c r="W117" s="15"/>
    </row>
    <row r="118">
      <c r="J118" s="15"/>
      <c r="V118" s="15"/>
      <c r="W118" s="15"/>
    </row>
    <row r="119">
      <c r="J119" s="15"/>
      <c r="V119" s="15"/>
      <c r="W119" s="15"/>
    </row>
    <row r="120">
      <c r="J120" s="15"/>
      <c r="V120" s="15"/>
      <c r="W120" s="15"/>
    </row>
    <row r="121">
      <c r="J121" s="15"/>
      <c r="V121" s="15"/>
      <c r="W121" s="15"/>
    </row>
    <row r="122">
      <c r="J122" s="15"/>
      <c r="V122" s="15"/>
      <c r="W122" s="15"/>
    </row>
    <row r="123">
      <c r="J123" s="15"/>
      <c r="V123" s="15"/>
      <c r="W123" s="15"/>
    </row>
    <row r="124">
      <c r="J124" s="15"/>
      <c r="V124" s="15"/>
      <c r="W124" s="15"/>
    </row>
    <row r="125">
      <c r="J125" s="15"/>
      <c r="V125" s="15"/>
      <c r="W125" s="15"/>
    </row>
    <row r="126">
      <c r="J126" s="15"/>
      <c r="V126" s="15"/>
      <c r="W126" s="15"/>
    </row>
    <row r="127">
      <c r="J127" s="15"/>
      <c r="V127" s="15"/>
      <c r="W127" s="15"/>
    </row>
    <row r="128">
      <c r="J128" s="15"/>
      <c r="V128" s="15"/>
      <c r="W128" s="15"/>
    </row>
    <row r="129">
      <c r="J129" s="15"/>
      <c r="V129" s="15"/>
      <c r="W129" s="15"/>
    </row>
    <row r="130">
      <c r="J130" s="15"/>
      <c r="V130" s="15"/>
      <c r="W130" s="15"/>
    </row>
    <row r="131">
      <c r="J131" s="15"/>
      <c r="V131" s="15"/>
      <c r="W131" s="15"/>
    </row>
    <row r="132">
      <c r="J132" s="15"/>
      <c r="V132" s="15"/>
      <c r="W132" s="15"/>
    </row>
    <row r="133">
      <c r="J133" s="15"/>
      <c r="V133" s="15"/>
      <c r="W133" s="15"/>
    </row>
    <row r="134">
      <c r="J134" s="15"/>
      <c r="V134" s="15"/>
      <c r="W134" s="15"/>
    </row>
    <row r="135">
      <c r="J135" s="15"/>
      <c r="V135" s="15"/>
      <c r="W135" s="15"/>
    </row>
    <row r="136">
      <c r="J136" s="15"/>
      <c r="V136" s="15"/>
      <c r="W136" s="15"/>
    </row>
    <row r="137">
      <c r="J137" s="15"/>
      <c r="V137" s="15"/>
      <c r="W137" s="15"/>
    </row>
    <row r="138">
      <c r="J138" s="15"/>
      <c r="V138" s="15"/>
      <c r="W138" s="15"/>
    </row>
    <row r="139">
      <c r="J139" s="15"/>
      <c r="V139" s="15"/>
      <c r="W139" s="15"/>
    </row>
    <row r="140">
      <c r="J140" s="15"/>
      <c r="V140" s="15"/>
      <c r="W140" s="15"/>
    </row>
    <row r="141">
      <c r="J141" s="15"/>
      <c r="V141" s="15"/>
      <c r="W141" s="15"/>
    </row>
    <row r="142">
      <c r="J142" s="15"/>
      <c r="V142" s="15"/>
      <c r="W142" s="15"/>
    </row>
    <row r="143">
      <c r="J143" s="15"/>
      <c r="V143" s="15"/>
      <c r="W143" s="15"/>
    </row>
    <row r="144">
      <c r="J144" s="15"/>
      <c r="V144" s="15"/>
      <c r="W144" s="15"/>
    </row>
    <row r="145">
      <c r="J145" s="15"/>
      <c r="V145" s="15"/>
      <c r="W145" s="15"/>
    </row>
    <row r="146">
      <c r="J146" s="15"/>
      <c r="V146" s="15"/>
      <c r="W146" s="15"/>
    </row>
    <row r="147">
      <c r="J147" s="15"/>
      <c r="V147" s="15"/>
      <c r="W147" s="15"/>
    </row>
    <row r="148">
      <c r="J148" s="15"/>
      <c r="V148" s="15"/>
      <c r="W148" s="15"/>
    </row>
    <row r="149">
      <c r="J149" s="15"/>
      <c r="V149" s="15"/>
      <c r="W149" s="15"/>
    </row>
    <row r="150">
      <c r="J150" s="15"/>
      <c r="V150" s="15"/>
      <c r="W150" s="15"/>
    </row>
    <row r="151">
      <c r="J151" s="15"/>
      <c r="V151" s="15"/>
      <c r="W151" s="15"/>
    </row>
    <row r="152">
      <c r="J152" s="15"/>
      <c r="V152" s="15"/>
      <c r="W152" s="15"/>
    </row>
    <row r="153">
      <c r="J153" s="15"/>
      <c r="V153" s="15"/>
      <c r="W153" s="15"/>
    </row>
    <row r="154">
      <c r="J154" s="15"/>
      <c r="V154" s="15"/>
      <c r="W154" s="15"/>
    </row>
    <row r="155">
      <c r="J155" s="15"/>
      <c r="V155" s="15"/>
      <c r="W155" s="15"/>
    </row>
    <row r="156">
      <c r="J156" s="15"/>
      <c r="V156" s="15"/>
      <c r="W156" s="15"/>
    </row>
    <row r="157">
      <c r="J157" s="15"/>
      <c r="V157" s="15"/>
      <c r="W157" s="15"/>
    </row>
    <row r="158">
      <c r="J158" s="15"/>
      <c r="V158" s="15"/>
      <c r="W158" s="15"/>
    </row>
    <row r="159">
      <c r="J159" s="15"/>
      <c r="V159" s="15"/>
      <c r="W159" s="15"/>
    </row>
    <row r="160">
      <c r="J160" s="15"/>
      <c r="V160" s="15"/>
      <c r="W160" s="15"/>
    </row>
    <row r="161">
      <c r="J161" s="15"/>
      <c r="V161" s="15"/>
      <c r="W161" s="15"/>
    </row>
    <row r="162">
      <c r="J162" s="15"/>
      <c r="V162" s="15"/>
      <c r="W162" s="15"/>
    </row>
    <row r="163">
      <c r="J163" s="15"/>
      <c r="V163" s="15"/>
      <c r="W163" s="15"/>
    </row>
    <row r="164">
      <c r="J164" s="15"/>
      <c r="V164" s="15"/>
      <c r="W164" s="15"/>
    </row>
    <row r="165">
      <c r="J165" s="15"/>
      <c r="V165" s="15"/>
      <c r="W165" s="15"/>
    </row>
    <row r="166">
      <c r="J166" s="15"/>
      <c r="V166" s="15"/>
      <c r="W166" s="15"/>
    </row>
    <row r="167">
      <c r="J167" s="15"/>
      <c r="V167" s="15"/>
      <c r="W167" s="15"/>
    </row>
    <row r="168">
      <c r="J168" s="15"/>
      <c r="V168" s="15"/>
      <c r="W168" s="15"/>
    </row>
    <row r="169">
      <c r="J169" s="15"/>
      <c r="V169" s="15"/>
      <c r="W169" s="15"/>
    </row>
    <row r="170">
      <c r="J170" s="15"/>
      <c r="V170" s="15"/>
      <c r="W170" s="15"/>
    </row>
    <row r="171">
      <c r="J171" s="15"/>
      <c r="V171" s="15"/>
      <c r="W171" s="15"/>
    </row>
    <row r="172">
      <c r="J172" s="15"/>
      <c r="V172" s="15"/>
      <c r="W172" s="15"/>
    </row>
    <row r="173">
      <c r="J173" s="15"/>
      <c r="V173" s="15"/>
      <c r="W173" s="15"/>
    </row>
    <row r="174">
      <c r="J174" s="15"/>
      <c r="V174" s="15"/>
      <c r="W174" s="15"/>
    </row>
    <row r="175">
      <c r="J175" s="15"/>
      <c r="V175" s="15"/>
      <c r="W175" s="15"/>
    </row>
    <row r="176">
      <c r="J176" s="15"/>
      <c r="V176" s="15"/>
      <c r="W176" s="15"/>
    </row>
    <row r="177">
      <c r="J177" s="15"/>
      <c r="V177" s="15"/>
      <c r="W177" s="15"/>
    </row>
    <row r="178">
      <c r="J178" s="15"/>
      <c r="V178" s="15"/>
      <c r="W178" s="15"/>
    </row>
    <row r="179">
      <c r="J179" s="15"/>
      <c r="V179" s="15"/>
      <c r="W179" s="15"/>
    </row>
    <row r="180">
      <c r="J180" s="15"/>
      <c r="V180" s="15"/>
      <c r="W180" s="15"/>
    </row>
    <row r="181">
      <c r="J181" s="15"/>
      <c r="V181" s="15"/>
      <c r="W181" s="15"/>
    </row>
    <row r="182">
      <c r="J182" s="15"/>
      <c r="V182" s="15"/>
      <c r="W182" s="15"/>
    </row>
    <row r="183">
      <c r="J183" s="15"/>
      <c r="V183" s="15"/>
      <c r="W183" s="15"/>
    </row>
    <row r="184">
      <c r="J184" s="15"/>
      <c r="V184" s="15"/>
      <c r="W184" s="15"/>
    </row>
    <row r="185">
      <c r="J185" s="15"/>
      <c r="V185" s="15"/>
      <c r="W185" s="15"/>
    </row>
    <row r="186">
      <c r="J186" s="15"/>
      <c r="V186" s="15"/>
      <c r="W186" s="15"/>
    </row>
    <row r="187">
      <c r="J187" s="15"/>
      <c r="V187" s="15"/>
      <c r="W187" s="15"/>
    </row>
    <row r="188">
      <c r="J188" s="15"/>
      <c r="V188" s="15"/>
      <c r="W188" s="15"/>
    </row>
    <row r="189">
      <c r="J189" s="15"/>
      <c r="V189" s="15"/>
      <c r="W189" s="15"/>
    </row>
    <row r="190">
      <c r="J190" s="15"/>
      <c r="V190" s="15"/>
      <c r="W190" s="15"/>
    </row>
    <row r="191">
      <c r="J191" s="15"/>
      <c r="V191" s="15"/>
      <c r="W191" s="15"/>
    </row>
    <row r="192">
      <c r="J192" s="15"/>
      <c r="V192" s="15"/>
      <c r="W192" s="15"/>
    </row>
    <row r="193">
      <c r="J193" s="15"/>
      <c r="V193" s="15"/>
      <c r="W193" s="15"/>
    </row>
    <row r="194">
      <c r="J194" s="15"/>
      <c r="V194" s="15"/>
      <c r="W194" s="15"/>
    </row>
    <row r="195">
      <c r="J195" s="15"/>
      <c r="V195" s="15"/>
      <c r="W195" s="15"/>
    </row>
    <row r="196">
      <c r="J196" s="15"/>
      <c r="V196" s="15"/>
      <c r="W196" s="15"/>
    </row>
    <row r="197">
      <c r="J197" s="15"/>
      <c r="V197" s="15"/>
      <c r="W197" s="15"/>
    </row>
    <row r="198">
      <c r="J198" s="15"/>
      <c r="V198" s="15"/>
      <c r="W198" s="15"/>
    </row>
    <row r="199">
      <c r="J199" s="15"/>
      <c r="V199" s="15"/>
      <c r="W199" s="15"/>
    </row>
    <row r="200">
      <c r="J200" s="15"/>
      <c r="V200" s="15"/>
      <c r="W200" s="15"/>
    </row>
    <row r="201">
      <c r="J201" s="15"/>
      <c r="V201" s="15"/>
      <c r="W201" s="15"/>
    </row>
    <row r="202">
      <c r="J202" s="15"/>
      <c r="V202" s="15"/>
      <c r="W202" s="15"/>
    </row>
    <row r="203">
      <c r="J203" s="15"/>
      <c r="V203" s="15"/>
      <c r="W203" s="15"/>
    </row>
    <row r="204">
      <c r="J204" s="15"/>
      <c r="V204" s="15"/>
      <c r="W204" s="15"/>
    </row>
    <row r="205">
      <c r="J205" s="15"/>
      <c r="V205" s="15"/>
      <c r="W205" s="15"/>
    </row>
    <row r="206">
      <c r="J206" s="15"/>
      <c r="V206" s="15"/>
      <c r="W206" s="15"/>
    </row>
    <row r="207">
      <c r="J207" s="15"/>
      <c r="V207" s="15"/>
      <c r="W207" s="15"/>
    </row>
    <row r="208">
      <c r="J208" s="15"/>
      <c r="V208" s="15"/>
      <c r="W208" s="15"/>
    </row>
    <row r="209">
      <c r="J209" s="15"/>
      <c r="V209" s="15"/>
      <c r="W209" s="15"/>
    </row>
    <row r="210">
      <c r="J210" s="15"/>
      <c r="V210" s="15"/>
      <c r="W210" s="15"/>
    </row>
    <row r="211">
      <c r="J211" s="15"/>
      <c r="V211" s="15"/>
      <c r="W211" s="15"/>
    </row>
    <row r="212">
      <c r="J212" s="15"/>
      <c r="V212" s="15"/>
      <c r="W212" s="15"/>
    </row>
    <row r="213">
      <c r="J213" s="15"/>
      <c r="V213" s="15"/>
      <c r="W213" s="15"/>
    </row>
    <row r="214">
      <c r="J214" s="15"/>
      <c r="V214" s="15"/>
      <c r="W214" s="15"/>
    </row>
    <row r="215">
      <c r="J215" s="15"/>
      <c r="V215" s="15"/>
      <c r="W215" s="15"/>
    </row>
    <row r="216">
      <c r="J216" s="15"/>
      <c r="V216" s="15"/>
      <c r="W216" s="15"/>
    </row>
    <row r="217">
      <c r="J217" s="15"/>
      <c r="V217" s="15"/>
      <c r="W217" s="15"/>
    </row>
    <row r="218">
      <c r="J218" s="15"/>
      <c r="V218" s="15"/>
      <c r="W218" s="15"/>
    </row>
    <row r="219">
      <c r="J219" s="15"/>
      <c r="V219" s="15"/>
      <c r="W219" s="15"/>
    </row>
    <row r="220">
      <c r="J220" s="15"/>
      <c r="V220" s="15"/>
      <c r="W220" s="15"/>
    </row>
    <row r="221">
      <c r="J221" s="15"/>
      <c r="V221" s="15"/>
      <c r="W221" s="15"/>
    </row>
    <row r="222">
      <c r="J222" s="15"/>
      <c r="V222" s="15"/>
      <c r="W222" s="15"/>
    </row>
    <row r="223">
      <c r="J223" s="15"/>
      <c r="V223" s="15"/>
      <c r="W223" s="15"/>
    </row>
    <row r="224">
      <c r="J224" s="15"/>
      <c r="V224" s="15"/>
      <c r="W224" s="15"/>
    </row>
    <row r="225">
      <c r="J225" s="15"/>
      <c r="V225" s="15"/>
      <c r="W225" s="15"/>
    </row>
    <row r="226">
      <c r="J226" s="15"/>
      <c r="V226" s="15"/>
      <c r="W226" s="15"/>
    </row>
    <row r="227">
      <c r="J227" s="15"/>
      <c r="V227" s="15"/>
      <c r="W227" s="15"/>
    </row>
    <row r="228">
      <c r="J228" s="15"/>
      <c r="V228" s="15"/>
      <c r="W228" s="15"/>
    </row>
    <row r="229">
      <c r="J229" s="15"/>
      <c r="V229" s="15"/>
      <c r="W229" s="15"/>
    </row>
    <row r="230">
      <c r="J230" s="15"/>
      <c r="V230" s="15"/>
      <c r="W230" s="15"/>
    </row>
    <row r="231">
      <c r="J231" s="15"/>
      <c r="V231" s="15"/>
      <c r="W231" s="15"/>
    </row>
    <row r="232">
      <c r="J232" s="15"/>
      <c r="V232" s="15"/>
      <c r="W232" s="15"/>
    </row>
    <row r="233">
      <c r="J233" s="15"/>
      <c r="V233" s="15"/>
      <c r="W233" s="15"/>
    </row>
    <row r="234">
      <c r="J234" s="15"/>
      <c r="V234" s="15"/>
      <c r="W234" s="15"/>
    </row>
    <row r="235">
      <c r="J235" s="15"/>
      <c r="V235" s="15"/>
      <c r="W235" s="15"/>
    </row>
    <row r="236">
      <c r="J236" s="15"/>
      <c r="V236" s="15"/>
      <c r="W236" s="15"/>
    </row>
    <row r="237">
      <c r="J237" s="15"/>
      <c r="V237" s="15"/>
      <c r="W237" s="15"/>
    </row>
    <row r="238">
      <c r="J238" s="15"/>
      <c r="V238" s="15"/>
      <c r="W238" s="15"/>
    </row>
    <row r="239">
      <c r="J239" s="15"/>
      <c r="V239" s="15"/>
      <c r="W239" s="15"/>
    </row>
    <row r="240">
      <c r="J240" s="15"/>
      <c r="V240" s="15"/>
      <c r="W240" s="15"/>
    </row>
    <row r="241">
      <c r="J241" s="15"/>
      <c r="V241" s="15"/>
      <c r="W241" s="15"/>
    </row>
    <row r="242">
      <c r="J242" s="15"/>
      <c r="V242" s="15"/>
      <c r="W242" s="15"/>
    </row>
    <row r="243">
      <c r="J243" s="15"/>
      <c r="V243" s="15"/>
      <c r="W243" s="15"/>
    </row>
    <row r="244">
      <c r="J244" s="15"/>
      <c r="V244" s="15"/>
      <c r="W244" s="15"/>
    </row>
    <row r="245">
      <c r="J245" s="15"/>
      <c r="V245" s="15"/>
      <c r="W245" s="15"/>
    </row>
    <row r="246">
      <c r="J246" s="15"/>
      <c r="V246" s="15"/>
      <c r="W246" s="15"/>
    </row>
    <row r="247">
      <c r="J247" s="15"/>
      <c r="V247" s="15"/>
      <c r="W247" s="15"/>
    </row>
    <row r="248">
      <c r="J248" s="15"/>
      <c r="V248" s="15"/>
      <c r="W248" s="15"/>
    </row>
    <row r="249">
      <c r="J249" s="15"/>
      <c r="V249" s="15"/>
      <c r="W249" s="15"/>
    </row>
    <row r="250">
      <c r="J250" s="15"/>
      <c r="V250" s="15"/>
      <c r="W250" s="15"/>
    </row>
    <row r="251">
      <c r="J251" s="15"/>
      <c r="V251" s="15"/>
      <c r="W251" s="15"/>
    </row>
    <row r="252">
      <c r="J252" s="15"/>
      <c r="V252" s="15"/>
      <c r="W252" s="15"/>
    </row>
    <row r="253">
      <c r="J253" s="15"/>
      <c r="V253" s="15"/>
      <c r="W253" s="15"/>
    </row>
    <row r="254">
      <c r="J254" s="15"/>
      <c r="V254" s="15"/>
      <c r="W254" s="15"/>
    </row>
    <row r="255">
      <c r="J255" s="15"/>
      <c r="V255" s="15"/>
      <c r="W255" s="15"/>
    </row>
    <row r="256">
      <c r="J256" s="15"/>
      <c r="V256" s="15"/>
      <c r="W256" s="15"/>
    </row>
    <row r="257">
      <c r="J257" s="15"/>
      <c r="V257" s="15"/>
      <c r="W257" s="15"/>
    </row>
    <row r="258">
      <c r="J258" s="15"/>
      <c r="V258" s="15"/>
      <c r="W258" s="15"/>
    </row>
    <row r="259">
      <c r="J259" s="15"/>
      <c r="V259" s="15"/>
      <c r="W259" s="15"/>
    </row>
    <row r="260">
      <c r="J260" s="15"/>
      <c r="V260" s="15"/>
      <c r="W260" s="15"/>
    </row>
    <row r="261">
      <c r="J261" s="15"/>
      <c r="V261" s="15"/>
      <c r="W261" s="15"/>
    </row>
    <row r="262">
      <c r="J262" s="15"/>
      <c r="V262" s="15"/>
      <c r="W262" s="15"/>
    </row>
    <row r="263">
      <c r="J263" s="15"/>
      <c r="V263" s="15"/>
      <c r="W263" s="15"/>
    </row>
    <row r="264">
      <c r="J264" s="15"/>
      <c r="V264" s="15"/>
      <c r="W264" s="15"/>
    </row>
    <row r="265">
      <c r="J265" s="15"/>
      <c r="V265" s="15"/>
      <c r="W265" s="15"/>
    </row>
    <row r="266">
      <c r="J266" s="15"/>
      <c r="V266" s="15"/>
      <c r="W266" s="15"/>
    </row>
    <row r="267">
      <c r="J267" s="15"/>
      <c r="V267" s="15"/>
      <c r="W267" s="15"/>
    </row>
    <row r="268">
      <c r="J268" s="15"/>
      <c r="V268" s="15"/>
      <c r="W268" s="15"/>
    </row>
    <row r="269">
      <c r="J269" s="15"/>
      <c r="V269" s="15"/>
      <c r="W269" s="15"/>
    </row>
    <row r="270">
      <c r="J270" s="15"/>
      <c r="V270" s="15"/>
      <c r="W270" s="15"/>
    </row>
    <row r="271">
      <c r="J271" s="15"/>
      <c r="V271" s="15"/>
      <c r="W271" s="15"/>
    </row>
    <row r="272">
      <c r="J272" s="15"/>
      <c r="V272" s="15"/>
      <c r="W272" s="15"/>
    </row>
    <row r="273">
      <c r="J273" s="15"/>
      <c r="V273" s="15"/>
      <c r="W273" s="15"/>
    </row>
    <row r="274">
      <c r="J274" s="15"/>
      <c r="V274" s="15"/>
      <c r="W274" s="15"/>
    </row>
    <row r="275">
      <c r="J275" s="15"/>
      <c r="V275" s="15"/>
      <c r="W275" s="15"/>
    </row>
    <row r="276">
      <c r="J276" s="15"/>
      <c r="V276" s="15"/>
      <c r="W276" s="15"/>
    </row>
    <row r="277">
      <c r="J277" s="15"/>
      <c r="V277" s="15"/>
      <c r="W277" s="15"/>
    </row>
    <row r="278">
      <c r="J278" s="15"/>
      <c r="V278" s="15"/>
      <c r="W278" s="15"/>
    </row>
    <row r="279">
      <c r="J279" s="15"/>
      <c r="V279" s="15"/>
      <c r="W279" s="15"/>
    </row>
    <row r="280">
      <c r="J280" s="15"/>
      <c r="V280" s="15"/>
      <c r="W280" s="15"/>
    </row>
    <row r="281">
      <c r="J281" s="15"/>
      <c r="V281" s="15"/>
      <c r="W281" s="15"/>
    </row>
    <row r="282">
      <c r="J282" s="15"/>
      <c r="V282" s="15"/>
      <c r="W282" s="15"/>
    </row>
    <row r="283">
      <c r="J283" s="15"/>
      <c r="V283" s="15"/>
      <c r="W283" s="15"/>
    </row>
    <row r="284">
      <c r="J284" s="15"/>
      <c r="V284" s="15"/>
      <c r="W284" s="15"/>
    </row>
    <row r="285">
      <c r="J285" s="15"/>
      <c r="V285" s="15"/>
      <c r="W285" s="15"/>
    </row>
    <row r="286">
      <c r="J286" s="15"/>
      <c r="V286" s="15"/>
      <c r="W286" s="15"/>
    </row>
    <row r="287">
      <c r="J287" s="15"/>
      <c r="V287" s="15"/>
      <c r="W287" s="15"/>
    </row>
    <row r="288">
      <c r="J288" s="15"/>
      <c r="V288" s="15"/>
      <c r="W288" s="15"/>
    </row>
    <row r="289">
      <c r="J289" s="15"/>
      <c r="V289" s="15"/>
      <c r="W289" s="15"/>
    </row>
    <row r="290">
      <c r="J290" s="15"/>
      <c r="V290" s="15"/>
      <c r="W290" s="15"/>
    </row>
    <row r="291">
      <c r="J291" s="15"/>
      <c r="V291" s="15"/>
      <c r="W291" s="15"/>
    </row>
    <row r="292">
      <c r="J292" s="15"/>
      <c r="V292" s="15"/>
      <c r="W292" s="15"/>
    </row>
    <row r="293">
      <c r="J293" s="15"/>
      <c r="V293" s="15"/>
      <c r="W293" s="15"/>
    </row>
    <row r="294">
      <c r="J294" s="15"/>
      <c r="V294" s="15"/>
      <c r="W294" s="15"/>
    </row>
    <row r="295">
      <c r="J295" s="15"/>
      <c r="V295" s="15"/>
      <c r="W295" s="15"/>
    </row>
    <row r="296">
      <c r="J296" s="15"/>
      <c r="V296" s="15"/>
      <c r="W296" s="15"/>
    </row>
    <row r="297">
      <c r="J297" s="15"/>
      <c r="V297" s="15"/>
      <c r="W297" s="15"/>
    </row>
    <row r="298">
      <c r="J298" s="15"/>
      <c r="V298" s="15"/>
      <c r="W298" s="15"/>
    </row>
    <row r="299">
      <c r="J299" s="15"/>
      <c r="V299" s="15"/>
      <c r="W299" s="15"/>
    </row>
    <row r="300">
      <c r="J300" s="15"/>
      <c r="V300" s="15"/>
      <c r="W300" s="15"/>
    </row>
    <row r="301">
      <c r="J301" s="15"/>
      <c r="V301" s="15"/>
      <c r="W301" s="15"/>
    </row>
    <row r="302">
      <c r="J302" s="15"/>
      <c r="V302" s="15"/>
      <c r="W302" s="15"/>
    </row>
    <row r="303">
      <c r="J303" s="15"/>
      <c r="V303" s="15"/>
      <c r="W303" s="15"/>
    </row>
    <row r="304">
      <c r="J304" s="15"/>
      <c r="V304" s="15"/>
      <c r="W304" s="15"/>
    </row>
    <row r="305">
      <c r="J305" s="15"/>
      <c r="V305" s="15"/>
      <c r="W305" s="15"/>
    </row>
    <row r="306">
      <c r="J306" s="15"/>
      <c r="V306" s="15"/>
      <c r="W306" s="15"/>
    </row>
    <row r="307">
      <c r="J307" s="15"/>
      <c r="V307" s="15"/>
      <c r="W307" s="15"/>
    </row>
    <row r="308">
      <c r="J308" s="15"/>
      <c r="V308" s="15"/>
      <c r="W308" s="15"/>
    </row>
    <row r="309">
      <c r="J309" s="15"/>
      <c r="V309" s="15"/>
      <c r="W309" s="15"/>
    </row>
    <row r="310">
      <c r="J310" s="15"/>
      <c r="V310" s="15"/>
      <c r="W310" s="15"/>
    </row>
    <row r="311">
      <c r="J311" s="15"/>
      <c r="V311" s="15"/>
      <c r="W311" s="15"/>
    </row>
    <row r="312">
      <c r="J312" s="15"/>
      <c r="V312" s="15"/>
      <c r="W312" s="15"/>
    </row>
    <row r="313">
      <c r="J313" s="15"/>
      <c r="V313" s="15"/>
      <c r="W313" s="15"/>
    </row>
    <row r="314">
      <c r="J314" s="15"/>
      <c r="V314" s="15"/>
      <c r="W314" s="15"/>
    </row>
    <row r="315">
      <c r="J315" s="15"/>
      <c r="V315" s="15"/>
      <c r="W315" s="15"/>
    </row>
    <row r="316">
      <c r="J316" s="15"/>
      <c r="V316" s="15"/>
      <c r="W316" s="15"/>
    </row>
    <row r="317">
      <c r="J317" s="15"/>
      <c r="V317" s="15"/>
      <c r="W317" s="15"/>
    </row>
    <row r="318">
      <c r="J318" s="15"/>
      <c r="V318" s="15"/>
      <c r="W318" s="15"/>
    </row>
    <row r="319">
      <c r="J319" s="15"/>
      <c r="V319" s="15"/>
      <c r="W319" s="15"/>
    </row>
    <row r="320">
      <c r="J320" s="15"/>
      <c r="V320" s="15"/>
      <c r="W320" s="15"/>
    </row>
    <row r="321">
      <c r="J321" s="15"/>
      <c r="V321" s="15"/>
      <c r="W321" s="15"/>
    </row>
    <row r="322">
      <c r="J322" s="15"/>
      <c r="V322" s="15"/>
      <c r="W322" s="15"/>
    </row>
    <row r="323">
      <c r="J323" s="15"/>
      <c r="V323" s="15"/>
      <c r="W323" s="15"/>
    </row>
    <row r="324">
      <c r="J324" s="15"/>
      <c r="V324" s="15"/>
      <c r="W324" s="15"/>
    </row>
    <row r="325">
      <c r="J325" s="15"/>
      <c r="V325" s="15"/>
      <c r="W325" s="15"/>
    </row>
    <row r="326">
      <c r="J326" s="15"/>
      <c r="V326" s="15"/>
      <c r="W326" s="15"/>
    </row>
    <row r="327">
      <c r="J327" s="15"/>
      <c r="V327" s="15"/>
      <c r="W327" s="15"/>
    </row>
    <row r="328">
      <c r="J328" s="15"/>
      <c r="V328" s="15"/>
      <c r="W328" s="15"/>
    </row>
    <row r="329">
      <c r="J329" s="15"/>
      <c r="V329" s="15"/>
      <c r="W329" s="15"/>
    </row>
    <row r="330">
      <c r="J330" s="15"/>
      <c r="V330" s="15"/>
      <c r="W330" s="15"/>
    </row>
    <row r="331">
      <c r="J331" s="15"/>
      <c r="V331" s="15"/>
      <c r="W331" s="15"/>
    </row>
    <row r="332">
      <c r="J332" s="15"/>
      <c r="V332" s="15"/>
      <c r="W332" s="15"/>
    </row>
    <row r="333">
      <c r="J333" s="15"/>
      <c r="V333" s="15"/>
      <c r="W333" s="15"/>
    </row>
    <row r="334">
      <c r="J334" s="15"/>
      <c r="V334" s="15"/>
      <c r="W334" s="15"/>
    </row>
    <row r="335">
      <c r="J335" s="15"/>
      <c r="V335" s="15"/>
      <c r="W335" s="15"/>
    </row>
    <row r="336">
      <c r="J336" s="15"/>
      <c r="V336" s="15"/>
      <c r="W336" s="15"/>
    </row>
    <row r="337">
      <c r="J337" s="15"/>
      <c r="V337" s="15"/>
      <c r="W337" s="15"/>
    </row>
    <row r="338">
      <c r="J338" s="15"/>
      <c r="V338" s="15"/>
      <c r="W338" s="15"/>
    </row>
    <row r="339">
      <c r="J339" s="15"/>
      <c r="V339" s="15"/>
      <c r="W339" s="15"/>
    </row>
    <row r="340">
      <c r="J340" s="15"/>
      <c r="V340" s="15"/>
      <c r="W340" s="15"/>
    </row>
    <row r="341">
      <c r="J341" s="15"/>
      <c r="V341" s="15"/>
      <c r="W341" s="15"/>
    </row>
    <row r="342">
      <c r="J342" s="15"/>
      <c r="V342" s="15"/>
      <c r="W342" s="15"/>
    </row>
    <row r="343">
      <c r="J343" s="15"/>
      <c r="V343" s="15"/>
      <c r="W343" s="15"/>
    </row>
    <row r="344">
      <c r="J344" s="15"/>
      <c r="V344" s="15"/>
      <c r="W344" s="15"/>
    </row>
    <row r="345">
      <c r="J345" s="15"/>
      <c r="V345" s="15"/>
      <c r="W345" s="15"/>
    </row>
    <row r="346">
      <c r="J346" s="15"/>
      <c r="V346" s="15"/>
      <c r="W346" s="15"/>
    </row>
    <row r="347">
      <c r="J347" s="15"/>
      <c r="V347" s="15"/>
      <c r="W347" s="15"/>
    </row>
    <row r="348">
      <c r="J348" s="15"/>
      <c r="V348" s="15"/>
      <c r="W348" s="15"/>
    </row>
    <row r="349">
      <c r="J349" s="15"/>
      <c r="V349" s="15"/>
      <c r="W349" s="15"/>
    </row>
    <row r="350">
      <c r="J350" s="15"/>
      <c r="V350" s="15"/>
      <c r="W350" s="15"/>
    </row>
    <row r="351">
      <c r="J351" s="15"/>
      <c r="V351" s="15"/>
      <c r="W351" s="15"/>
    </row>
    <row r="352">
      <c r="J352" s="15"/>
      <c r="V352" s="15"/>
      <c r="W352" s="15"/>
    </row>
    <row r="353">
      <c r="J353" s="15"/>
      <c r="V353" s="15"/>
      <c r="W353" s="15"/>
    </row>
    <row r="354">
      <c r="J354" s="15"/>
      <c r="V354" s="15"/>
      <c r="W354" s="15"/>
    </row>
    <row r="355">
      <c r="J355" s="15"/>
      <c r="V355" s="15"/>
      <c r="W355" s="15"/>
    </row>
    <row r="356">
      <c r="J356" s="15"/>
      <c r="V356" s="15"/>
      <c r="W356" s="15"/>
    </row>
    <row r="357">
      <c r="J357" s="15"/>
      <c r="V357" s="15"/>
      <c r="W357" s="15"/>
    </row>
    <row r="358">
      <c r="J358" s="15"/>
      <c r="V358" s="15"/>
      <c r="W358" s="15"/>
    </row>
    <row r="359">
      <c r="J359" s="15"/>
      <c r="V359" s="15"/>
      <c r="W359" s="15"/>
    </row>
    <row r="360">
      <c r="J360" s="15"/>
      <c r="V360" s="15"/>
      <c r="W360" s="15"/>
    </row>
    <row r="361">
      <c r="J361" s="15"/>
      <c r="V361" s="15"/>
      <c r="W361" s="15"/>
    </row>
    <row r="362">
      <c r="J362" s="15"/>
      <c r="V362" s="15"/>
      <c r="W362" s="15"/>
    </row>
    <row r="363">
      <c r="J363" s="15"/>
      <c r="V363" s="15"/>
      <c r="W363" s="15"/>
    </row>
    <row r="364">
      <c r="J364" s="15"/>
      <c r="V364" s="15"/>
      <c r="W364" s="15"/>
    </row>
    <row r="365">
      <c r="J365" s="15"/>
      <c r="V365" s="15"/>
      <c r="W365" s="15"/>
    </row>
    <row r="366">
      <c r="J366" s="15"/>
      <c r="V366" s="15"/>
      <c r="W366" s="15"/>
    </row>
    <row r="367">
      <c r="J367" s="15"/>
      <c r="V367" s="15"/>
      <c r="W367" s="15"/>
    </row>
    <row r="368">
      <c r="J368" s="15"/>
      <c r="V368" s="15"/>
      <c r="W368" s="15"/>
    </row>
    <row r="369">
      <c r="J369" s="15"/>
      <c r="V369" s="15"/>
      <c r="W369" s="15"/>
    </row>
    <row r="370">
      <c r="J370" s="15"/>
      <c r="V370" s="15"/>
      <c r="W370" s="15"/>
    </row>
    <row r="371">
      <c r="J371" s="15"/>
      <c r="V371" s="15"/>
      <c r="W371" s="15"/>
    </row>
    <row r="372">
      <c r="J372" s="15"/>
      <c r="V372" s="15"/>
      <c r="W372" s="15"/>
    </row>
    <row r="373">
      <c r="J373" s="15"/>
      <c r="V373" s="15"/>
      <c r="W373" s="15"/>
    </row>
    <row r="374">
      <c r="J374" s="15"/>
      <c r="V374" s="15"/>
      <c r="W374" s="15"/>
    </row>
    <row r="375">
      <c r="J375" s="15"/>
      <c r="V375" s="15"/>
      <c r="W375" s="15"/>
    </row>
    <row r="376">
      <c r="J376" s="15"/>
      <c r="V376" s="15"/>
      <c r="W376" s="15"/>
    </row>
    <row r="377">
      <c r="J377" s="15"/>
      <c r="V377" s="15"/>
      <c r="W377" s="15"/>
    </row>
    <row r="378">
      <c r="J378" s="15"/>
      <c r="V378" s="15"/>
      <c r="W378" s="15"/>
    </row>
    <row r="379">
      <c r="J379" s="15"/>
      <c r="V379" s="15"/>
      <c r="W379" s="15"/>
    </row>
    <row r="380">
      <c r="J380" s="15"/>
      <c r="V380" s="15"/>
      <c r="W380" s="15"/>
    </row>
    <row r="381">
      <c r="J381" s="15"/>
      <c r="V381" s="15"/>
      <c r="W381" s="15"/>
    </row>
    <row r="382">
      <c r="J382" s="15"/>
      <c r="V382" s="15"/>
      <c r="W382" s="15"/>
    </row>
    <row r="383">
      <c r="J383" s="15"/>
      <c r="V383" s="15"/>
      <c r="W383" s="15"/>
    </row>
    <row r="384">
      <c r="J384" s="15"/>
      <c r="V384" s="15"/>
      <c r="W384" s="15"/>
    </row>
    <row r="385">
      <c r="J385" s="15"/>
      <c r="V385" s="15"/>
      <c r="W385" s="15"/>
    </row>
    <row r="386">
      <c r="J386" s="15"/>
      <c r="V386" s="15"/>
      <c r="W386" s="15"/>
    </row>
    <row r="387">
      <c r="J387" s="15"/>
      <c r="V387" s="15"/>
      <c r="W387" s="15"/>
    </row>
    <row r="388">
      <c r="J388" s="15"/>
      <c r="V388" s="15"/>
      <c r="W388" s="15"/>
    </row>
    <row r="389">
      <c r="J389" s="15"/>
      <c r="V389" s="15"/>
      <c r="W389" s="15"/>
    </row>
    <row r="390">
      <c r="J390" s="15"/>
      <c r="V390" s="15"/>
      <c r="W390" s="15"/>
    </row>
    <row r="391">
      <c r="J391" s="15"/>
      <c r="V391" s="15"/>
      <c r="W391" s="15"/>
    </row>
    <row r="392">
      <c r="J392" s="15"/>
      <c r="V392" s="15"/>
      <c r="W392" s="15"/>
    </row>
    <row r="393">
      <c r="J393" s="15"/>
      <c r="V393" s="15"/>
      <c r="W393" s="15"/>
    </row>
    <row r="394">
      <c r="J394" s="15"/>
      <c r="V394" s="15"/>
      <c r="W394" s="15"/>
    </row>
    <row r="395">
      <c r="J395" s="15"/>
      <c r="V395" s="15"/>
      <c r="W395" s="15"/>
    </row>
    <row r="396">
      <c r="J396" s="15"/>
      <c r="V396" s="15"/>
      <c r="W396" s="15"/>
    </row>
    <row r="397">
      <c r="J397" s="15"/>
      <c r="V397" s="15"/>
      <c r="W397" s="15"/>
    </row>
    <row r="398">
      <c r="J398" s="15"/>
      <c r="V398" s="15"/>
      <c r="W398" s="15"/>
    </row>
    <row r="399">
      <c r="J399" s="15"/>
      <c r="V399" s="15"/>
      <c r="W399" s="15"/>
    </row>
    <row r="400">
      <c r="J400" s="15"/>
      <c r="V400" s="15"/>
      <c r="W400" s="15"/>
    </row>
    <row r="401">
      <c r="J401" s="15"/>
      <c r="V401" s="15"/>
      <c r="W401" s="15"/>
    </row>
    <row r="402">
      <c r="J402" s="15"/>
      <c r="V402" s="15"/>
      <c r="W402" s="15"/>
    </row>
    <row r="403">
      <c r="J403" s="15"/>
      <c r="V403" s="15"/>
      <c r="W403" s="15"/>
    </row>
    <row r="404">
      <c r="J404" s="15"/>
      <c r="V404" s="15"/>
      <c r="W404" s="15"/>
    </row>
    <row r="405">
      <c r="J405" s="15"/>
      <c r="V405" s="15"/>
      <c r="W405" s="15"/>
    </row>
    <row r="406">
      <c r="J406" s="15"/>
      <c r="V406" s="15"/>
      <c r="W406" s="15"/>
    </row>
    <row r="407">
      <c r="J407" s="15"/>
      <c r="V407" s="15"/>
      <c r="W407" s="15"/>
    </row>
    <row r="408">
      <c r="J408" s="15"/>
      <c r="V408" s="15"/>
      <c r="W408" s="15"/>
    </row>
    <row r="409">
      <c r="J409" s="15"/>
      <c r="V409" s="15"/>
      <c r="W409" s="15"/>
    </row>
    <row r="410">
      <c r="J410" s="15"/>
      <c r="V410" s="15"/>
      <c r="W410" s="15"/>
    </row>
    <row r="411">
      <c r="J411" s="15"/>
      <c r="V411" s="15"/>
      <c r="W411" s="15"/>
    </row>
    <row r="412">
      <c r="J412" s="15"/>
      <c r="V412" s="15"/>
      <c r="W412" s="15"/>
    </row>
    <row r="413">
      <c r="J413" s="15"/>
      <c r="V413" s="15"/>
      <c r="W413" s="15"/>
    </row>
    <row r="414">
      <c r="J414" s="15"/>
      <c r="V414" s="15"/>
      <c r="W414" s="15"/>
    </row>
    <row r="415">
      <c r="J415" s="15"/>
      <c r="V415" s="15"/>
      <c r="W415" s="15"/>
    </row>
    <row r="416">
      <c r="J416" s="15"/>
      <c r="V416" s="15"/>
      <c r="W416" s="15"/>
    </row>
    <row r="417">
      <c r="J417" s="15"/>
      <c r="V417" s="15"/>
      <c r="W417" s="15"/>
    </row>
    <row r="418">
      <c r="J418" s="15"/>
      <c r="V418" s="15"/>
      <c r="W418" s="15"/>
    </row>
    <row r="419">
      <c r="J419" s="15"/>
      <c r="V419" s="15"/>
      <c r="W419" s="15"/>
    </row>
    <row r="420">
      <c r="J420" s="15"/>
      <c r="V420" s="15"/>
      <c r="W420" s="15"/>
    </row>
    <row r="421">
      <c r="J421" s="15"/>
      <c r="V421" s="15"/>
      <c r="W421" s="15"/>
    </row>
    <row r="422">
      <c r="J422" s="15"/>
      <c r="V422" s="15"/>
      <c r="W422" s="15"/>
    </row>
    <row r="423">
      <c r="J423" s="15"/>
      <c r="V423" s="15"/>
      <c r="W423" s="15"/>
    </row>
    <row r="424">
      <c r="J424" s="15"/>
      <c r="V424" s="15"/>
      <c r="W424" s="15"/>
    </row>
    <row r="425">
      <c r="J425" s="15"/>
      <c r="V425" s="15"/>
      <c r="W425" s="15"/>
    </row>
    <row r="426">
      <c r="J426" s="15"/>
      <c r="V426" s="15"/>
      <c r="W426" s="15"/>
    </row>
    <row r="427">
      <c r="J427" s="15"/>
      <c r="V427" s="15"/>
      <c r="W427" s="15"/>
    </row>
    <row r="428">
      <c r="J428" s="15"/>
      <c r="V428" s="15"/>
      <c r="W428" s="15"/>
    </row>
    <row r="429">
      <c r="J429" s="15"/>
      <c r="V429" s="15"/>
      <c r="W429" s="15"/>
    </row>
    <row r="430">
      <c r="J430" s="15"/>
      <c r="V430" s="15"/>
      <c r="W430" s="15"/>
    </row>
    <row r="431">
      <c r="J431" s="15"/>
      <c r="V431" s="15"/>
      <c r="W431" s="15"/>
    </row>
    <row r="432">
      <c r="J432" s="15"/>
      <c r="V432" s="15"/>
      <c r="W432" s="15"/>
    </row>
    <row r="433">
      <c r="J433" s="15"/>
      <c r="V433" s="15"/>
      <c r="W433" s="15"/>
    </row>
    <row r="434">
      <c r="J434" s="15"/>
      <c r="V434" s="15"/>
      <c r="W434" s="15"/>
    </row>
    <row r="435">
      <c r="J435" s="15"/>
      <c r="V435" s="15"/>
      <c r="W435" s="15"/>
    </row>
    <row r="436">
      <c r="J436" s="15"/>
      <c r="V436" s="15"/>
      <c r="W436" s="15"/>
    </row>
    <row r="437">
      <c r="J437" s="15"/>
      <c r="V437" s="15"/>
      <c r="W437" s="15"/>
    </row>
    <row r="438">
      <c r="J438" s="15"/>
      <c r="V438" s="15"/>
      <c r="W438" s="15"/>
    </row>
    <row r="439">
      <c r="J439" s="15"/>
      <c r="V439" s="15"/>
      <c r="W439" s="15"/>
    </row>
    <row r="440">
      <c r="J440" s="15"/>
      <c r="V440" s="15"/>
      <c r="W440" s="15"/>
    </row>
    <row r="441">
      <c r="J441" s="15"/>
      <c r="V441" s="15"/>
      <c r="W441" s="15"/>
    </row>
    <row r="442">
      <c r="J442" s="15"/>
      <c r="V442" s="15"/>
      <c r="W442" s="15"/>
    </row>
    <row r="443">
      <c r="J443" s="15"/>
      <c r="V443" s="15"/>
      <c r="W443" s="15"/>
    </row>
    <row r="444">
      <c r="J444" s="15"/>
      <c r="V444" s="15"/>
      <c r="W444" s="15"/>
    </row>
    <row r="445">
      <c r="J445" s="15"/>
      <c r="V445" s="15"/>
      <c r="W445" s="15"/>
    </row>
    <row r="446">
      <c r="J446" s="15"/>
      <c r="V446" s="15"/>
      <c r="W446" s="15"/>
    </row>
    <row r="447">
      <c r="J447" s="15"/>
      <c r="V447" s="15"/>
      <c r="W447" s="15"/>
    </row>
    <row r="448">
      <c r="J448" s="15"/>
      <c r="V448" s="15"/>
      <c r="W448" s="15"/>
    </row>
    <row r="449">
      <c r="J449" s="15"/>
      <c r="V449" s="15"/>
      <c r="W449" s="15"/>
    </row>
    <row r="450">
      <c r="J450" s="15"/>
      <c r="V450" s="15"/>
      <c r="W450" s="15"/>
    </row>
    <row r="451">
      <c r="J451" s="15"/>
      <c r="V451" s="15"/>
      <c r="W451" s="15"/>
    </row>
    <row r="452">
      <c r="J452" s="15"/>
      <c r="V452" s="15"/>
      <c r="W452" s="15"/>
    </row>
    <row r="453">
      <c r="J453" s="15"/>
      <c r="V453" s="15"/>
      <c r="W453" s="15"/>
    </row>
    <row r="454">
      <c r="J454" s="15"/>
      <c r="V454" s="15"/>
      <c r="W454" s="15"/>
    </row>
    <row r="455">
      <c r="J455" s="15"/>
      <c r="V455" s="15"/>
      <c r="W455" s="15"/>
    </row>
    <row r="456">
      <c r="J456" s="15"/>
      <c r="V456" s="15"/>
      <c r="W456" s="15"/>
    </row>
    <row r="457">
      <c r="J457" s="15"/>
      <c r="V457" s="15"/>
      <c r="W457" s="15"/>
    </row>
    <row r="458">
      <c r="J458" s="15"/>
      <c r="V458" s="15"/>
      <c r="W458" s="15"/>
    </row>
    <row r="459">
      <c r="J459" s="15"/>
      <c r="V459" s="15"/>
      <c r="W459" s="15"/>
    </row>
    <row r="460">
      <c r="J460" s="15"/>
      <c r="V460" s="15"/>
      <c r="W460" s="15"/>
    </row>
    <row r="461">
      <c r="J461" s="15"/>
      <c r="V461" s="15"/>
      <c r="W461" s="15"/>
    </row>
    <row r="462">
      <c r="J462" s="15"/>
      <c r="V462" s="15"/>
      <c r="W462" s="15"/>
    </row>
    <row r="463">
      <c r="J463" s="15"/>
      <c r="V463" s="15"/>
      <c r="W463" s="15"/>
    </row>
    <row r="464">
      <c r="J464" s="15"/>
      <c r="V464" s="15"/>
      <c r="W464" s="15"/>
    </row>
    <row r="465">
      <c r="J465" s="15"/>
      <c r="V465" s="15"/>
      <c r="W465" s="15"/>
    </row>
    <row r="466">
      <c r="J466" s="15"/>
      <c r="V466" s="15"/>
      <c r="W466" s="15"/>
    </row>
    <row r="467">
      <c r="J467" s="15"/>
      <c r="V467" s="15"/>
      <c r="W467" s="15"/>
    </row>
    <row r="468">
      <c r="J468" s="15"/>
      <c r="V468" s="15"/>
      <c r="W468" s="15"/>
    </row>
    <row r="469">
      <c r="J469" s="15"/>
      <c r="V469" s="15"/>
      <c r="W469" s="15"/>
    </row>
    <row r="470">
      <c r="J470" s="15"/>
      <c r="V470" s="15"/>
      <c r="W470" s="15"/>
    </row>
    <row r="471">
      <c r="J471" s="15"/>
      <c r="V471" s="15"/>
      <c r="W471" s="15"/>
    </row>
    <row r="472">
      <c r="J472" s="15"/>
      <c r="V472" s="15"/>
      <c r="W472" s="15"/>
    </row>
    <row r="473">
      <c r="J473" s="15"/>
      <c r="V473" s="15"/>
      <c r="W473" s="15"/>
    </row>
    <row r="474">
      <c r="J474" s="15"/>
      <c r="V474" s="15"/>
      <c r="W474" s="15"/>
    </row>
    <row r="475">
      <c r="J475" s="15"/>
      <c r="V475" s="15"/>
      <c r="W475" s="15"/>
    </row>
    <row r="476">
      <c r="J476" s="15"/>
      <c r="V476" s="15"/>
      <c r="W476" s="15"/>
    </row>
    <row r="477">
      <c r="J477" s="15"/>
      <c r="V477" s="15"/>
      <c r="W477" s="15"/>
    </row>
    <row r="478">
      <c r="J478" s="15"/>
      <c r="V478" s="15"/>
      <c r="W478" s="15"/>
    </row>
    <row r="479">
      <c r="J479" s="15"/>
      <c r="V479" s="15"/>
      <c r="W479" s="15"/>
    </row>
    <row r="480">
      <c r="J480" s="15"/>
      <c r="V480" s="15"/>
      <c r="W480" s="15"/>
    </row>
    <row r="481">
      <c r="J481" s="15"/>
      <c r="V481" s="15"/>
      <c r="W481" s="15"/>
    </row>
    <row r="482">
      <c r="J482" s="15"/>
      <c r="V482" s="15"/>
      <c r="W482" s="15"/>
    </row>
    <row r="483">
      <c r="J483" s="15"/>
      <c r="V483" s="15"/>
      <c r="W483" s="15"/>
    </row>
    <row r="484">
      <c r="J484" s="15"/>
      <c r="V484" s="15"/>
      <c r="W484" s="15"/>
    </row>
    <row r="485">
      <c r="J485" s="15"/>
      <c r="V485" s="15"/>
      <c r="W485" s="15"/>
    </row>
    <row r="486">
      <c r="J486" s="15"/>
      <c r="V486" s="15"/>
      <c r="W486" s="15"/>
    </row>
    <row r="487">
      <c r="J487" s="15"/>
      <c r="V487" s="15"/>
      <c r="W487" s="15"/>
    </row>
    <row r="488">
      <c r="J488" s="15"/>
      <c r="V488" s="15"/>
      <c r="W488" s="15"/>
    </row>
    <row r="489">
      <c r="J489" s="15"/>
      <c r="V489" s="15"/>
      <c r="W489" s="15"/>
    </row>
    <row r="490">
      <c r="J490" s="15"/>
      <c r="V490" s="15"/>
      <c r="W490" s="15"/>
    </row>
    <row r="491">
      <c r="J491" s="15"/>
      <c r="V491" s="15"/>
      <c r="W491" s="15"/>
    </row>
    <row r="492">
      <c r="J492" s="15"/>
      <c r="V492" s="15"/>
      <c r="W492" s="15"/>
    </row>
    <row r="493">
      <c r="J493" s="15"/>
      <c r="V493" s="15"/>
      <c r="W493" s="15"/>
    </row>
    <row r="494">
      <c r="J494" s="15"/>
      <c r="V494" s="15"/>
      <c r="W494" s="15"/>
    </row>
    <row r="495">
      <c r="J495" s="15"/>
      <c r="V495" s="15"/>
      <c r="W495" s="15"/>
    </row>
    <row r="496">
      <c r="J496" s="15"/>
      <c r="V496" s="15"/>
      <c r="W496" s="15"/>
    </row>
    <row r="497">
      <c r="J497" s="15"/>
      <c r="V497" s="15"/>
      <c r="W497" s="15"/>
    </row>
    <row r="498">
      <c r="J498" s="15"/>
      <c r="V498" s="15"/>
      <c r="W498" s="15"/>
    </row>
    <row r="499">
      <c r="J499" s="15"/>
      <c r="V499" s="15"/>
      <c r="W499" s="15"/>
    </row>
    <row r="500">
      <c r="J500" s="15"/>
      <c r="V500" s="15"/>
      <c r="W500" s="15"/>
    </row>
    <row r="501">
      <c r="J501" s="15"/>
      <c r="V501" s="15"/>
      <c r="W501" s="15"/>
    </row>
    <row r="502">
      <c r="J502" s="15"/>
      <c r="V502" s="15"/>
      <c r="W502" s="15"/>
    </row>
    <row r="503">
      <c r="J503" s="15"/>
      <c r="V503" s="15"/>
      <c r="W503" s="15"/>
    </row>
    <row r="504">
      <c r="J504" s="15"/>
      <c r="V504" s="15"/>
      <c r="W504" s="15"/>
    </row>
    <row r="505">
      <c r="J505" s="15"/>
      <c r="V505" s="15"/>
      <c r="W505" s="15"/>
    </row>
    <row r="506">
      <c r="J506" s="15"/>
      <c r="V506" s="15"/>
      <c r="W506" s="15"/>
    </row>
    <row r="507">
      <c r="J507" s="15"/>
      <c r="V507" s="15"/>
      <c r="W507" s="15"/>
    </row>
    <row r="508">
      <c r="J508" s="15"/>
      <c r="V508" s="15"/>
      <c r="W508" s="15"/>
    </row>
    <row r="509">
      <c r="J509" s="15"/>
      <c r="V509" s="15"/>
      <c r="W509" s="15"/>
    </row>
    <row r="510">
      <c r="J510" s="15"/>
      <c r="V510" s="15"/>
      <c r="W510" s="15"/>
    </row>
    <row r="511">
      <c r="J511" s="15"/>
      <c r="V511" s="15"/>
      <c r="W511" s="15"/>
    </row>
    <row r="512">
      <c r="J512" s="15"/>
      <c r="V512" s="15"/>
      <c r="W512" s="15"/>
    </row>
    <row r="513">
      <c r="J513" s="15"/>
      <c r="V513" s="15"/>
      <c r="W513" s="15"/>
    </row>
    <row r="514">
      <c r="J514" s="15"/>
      <c r="V514" s="15"/>
      <c r="W514" s="15"/>
    </row>
    <row r="515">
      <c r="J515" s="15"/>
      <c r="V515" s="15"/>
      <c r="W515" s="15"/>
    </row>
    <row r="516">
      <c r="J516" s="15"/>
      <c r="V516" s="15"/>
      <c r="W516" s="15"/>
    </row>
    <row r="517">
      <c r="J517" s="15"/>
      <c r="V517" s="15"/>
      <c r="W517" s="15"/>
    </row>
    <row r="518">
      <c r="J518" s="15"/>
      <c r="V518" s="15"/>
      <c r="W518" s="15"/>
    </row>
    <row r="519">
      <c r="J519" s="15"/>
      <c r="V519" s="15"/>
      <c r="W519" s="15"/>
    </row>
    <row r="520">
      <c r="J520" s="15"/>
      <c r="V520" s="15"/>
      <c r="W520" s="15"/>
    </row>
    <row r="521">
      <c r="J521" s="15"/>
      <c r="V521" s="15"/>
      <c r="W521" s="15"/>
    </row>
    <row r="522">
      <c r="J522" s="15"/>
      <c r="V522" s="15"/>
      <c r="W522" s="15"/>
    </row>
    <row r="523">
      <c r="J523" s="15"/>
      <c r="V523" s="15"/>
      <c r="W523" s="15"/>
    </row>
    <row r="524">
      <c r="J524" s="15"/>
      <c r="V524" s="15"/>
      <c r="W524" s="15"/>
    </row>
    <row r="525">
      <c r="J525" s="15"/>
      <c r="V525" s="15"/>
      <c r="W525" s="15"/>
    </row>
    <row r="526">
      <c r="J526" s="15"/>
      <c r="V526" s="15"/>
      <c r="W526" s="15"/>
    </row>
    <row r="527">
      <c r="J527" s="15"/>
      <c r="V527" s="15"/>
      <c r="W527" s="15"/>
    </row>
    <row r="528">
      <c r="J528" s="15"/>
      <c r="V528" s="15"/>
      <c r="W528" s="15"/>
    </row>
    <row r="529">
      <c r="J529" s="15"/>
      <c r="V529" s="15"/>
      <c r="W529" s="15"/>
    </row>
    <row r="530">
      <c r="J530" s="15"/>
      <c r="V530" s="15"/>
      <c r="W530" s="15"/>
    </row>
    <row r="531">
      <c r="J531" s="15"/>
      <c r="V531" s="15"/>
      <c r="W531" s="15"/>
    </row>
    <row r="532">
      <c r="J532" s="15"/>
      <c r="V532" s="15"/>
      <c r="W532" s="15"/>
    </row>
    <row r="533">
      <c r="J533" s="15"/>
      <c r="V533" s="15"/>
      <c r="W533" s="15"/>
    </row>
    <row r="534">
      <c r="J534" s="15"/>
      <c r="V534" s="15"/>
      <c r="W534" s="15"/>
    </row>
    <row r="535">
      <c r="J535" s="15"/>
      <c r="V535" s="15"/>
      <c r="W535" s="15"/>
    </row>
    <row r="536">
      <c r="J536" s="15"/>
      <c r="V536" s="15"/>
      <c r="W536" s="15"/>
    </row>
    <row r="537">
      <c r="J537" s="15"/>
      <c r="V537" s="15"/>
      <c r="W537" s="15"/>
    </row>
    <row r="538">
      <c r="J538" s="15"/>
      <c r="V538" s="15"/>
      <c r="W538" s="15"/>
    </row>
    <row r="539">
      <c r="J539" s="15"/>
      <c r="V539" s="15"/>
      <c r="W539" s="15"/>
    </row>
    <row r="540">
      <c r="J540" s="15"/>
      <c r="V540" s="15"/>
      <c r="W540" s="15"/>
    </row>
    <row r="541">
      <c r="J541" s="15"/>
      <c r="V541" s="15"/>
      <c r="W541" s="15"/>
    </row>
    <row r="542">
      <c r="J542" s="15"/>
      <c r="V542" s="15"/>
      <c r="W542" s="15"/>
    </row>
    <row r="543">
      <c r="J543" s="15"/>
      <c r="V543" s="15"/>
      <c r="W543" s="15"/>
    </row>
    <row r="544">
      <c r="J544" s="15"/>
      <c r="V544" s="15"/>
      <c r="W544" s="15"/>
    </row>
    <row r="545">
      <c r="J545" s="15"/>
      <c r="V545" s="15"/>
      <c r="W545" s="15"/>
    </row>
    <row r="546">
      <c r="J546" s="15"/>
      <c r="V546" s="15"/>
      <c r="W546" s="15"/>
    </row>
    <row r="547">
      <c r="J547" s="15"/>
      <c r="V547" s="15"/>
      <c r="W547" s="15"/>
    </row>
    <row r="548">
      <c r="J548" s="15"/>
      <c r="V548" s="15"/>
      <c r="W548" s="15"/>
    </row>
    <row r="549">
      <c r="J549" s="15"/>
      <c r="V549" s="15"/>
      <c r="W549" s="15"/>
    </row>
    <row r="550">
      <c r="J550" s="15"/>
      <c r="V550" s="15"/>
      <c r="W550" s="15"/>
    </row>
    <row r="551">
      <c r="J551" s="15"/>
      <c r="V551" s="15"/>
      <c r="W551" s="15"/>
    </row>
    <row r="552">
      <c r="J552" s="15"/>
      <c r="V552" s="15"/>
      <c r="W552" s="15"/>
    </row>
    <row r="553">
      <c r="J553" s="15"/>
      <c r="V553" s="15"/>
      <c r="W553" s="15"/>
    </row>
    <row r="554">
      <c r="J554" s="15"/>
      <c r="V554" s="15"/>
      <c r="W554" s="15"/>
    </row>
    <row r="555">
      <c r="J555" s="15"/>
      <c r="V555" s="15"/>
      <c r="W555" s="15"/>
    </row>
    <row r="556">
      <c r="J556" s="15"/>
      <c r="V556" s="15"/>
      <c r="W556" s="15"/>
    </row>
    <row r="557">
      <c r="J557" s="15"/>
      <c r="V557" s="15"/>
      <c r="W557" s="15"/>
    </row>
    <row r="558">
      <c r="J558" s="15"/>
      <c r="V558" s="15"/>
      <c r="W558" s="15"/>
    </row>
    <row r="559">
      <c r="J559" s="15"/>
      <c r="V559" s="15"/>
      <c r="W559" s="15"/>
    </row>
    <row r="560">
      <c r="J560" s="15"/>
      <c r="V560" s="15"/>
      <c r="W560" s="15"/>
    </row>
    <row r="561">
      <c r="J561" s="15"/>
      <c r="V561" s="15"/>
      <c r="W561" s="15"/>
    </row>
    <row r="562">
      <c r="J562" s="15"/>
      <c r="V562" s="15"/>
      <c r="W562" s="15"/>
    </row>
    <row r="563">
      <c r="J563" s="15"/>
      <c r="V563" s="15"/>
      <c r="W563" s="15"/>
    </row>
    <row r="564">
      <c r="J564" s="15"/>
      <c r="V564" s="15"/>
      <c r="W564" s="15"/>
    </row>
    <row r="565">
      <c r="J565" s="15"/>
      <c r="V565" s="15"/>
      <c r="W565" s="15"/>
    </row>
    <row r="566">
      <c r="J566" s="15"/>
      <c r="V566" s="15"/>
      <c r="W566" s="15"/>
    </row>
    <row r="567">
      <c r="J567" s="15"/>
      <c r="V567" s="15"/>
      <c r="W567" s="15"/>
    </row>
    <row r="568">
      <c r="J568" s="15"/>
      <c r="V568" s="15"/>
      <c r="W568" s="15"/>
    </row>
    <row r="569">
      <c r="J569" s="15"/>
      <c r="V569" s="15"/>
      <c r="W569" s="15"/>
    </row>
    <row r="570">
      <c r="J570" s="15"/>
      <c r="V570" s="15"/>
      <c r="W570" s="15"/>
    </row>
    <row r="571">
      <c r="J571" s="15"/>
      <c r="V571" s="15"/>
      <c r="W571" s="15"/>
    </row>
    <row r="572">
      <c r="J572" s="15"/>
      <c r="V572" s="15"/>
      <c r="W572" s="15"/>
    </row>
    <row r="573">
      <c r="J573" s="15"/>
      <c r="V573" s="15"/>
      <c r="W573" s="15"/>
    </row>
    <row r="574">
      <c r="J574" s="15"/>
      <c r="V574" s="15"/>
      <c r="W574" s="15"/>
    </row>
    <row r="575">
      <c r="J575" s="15"/>
      <c r="V575" s="15"/>
      <c r="W575" s="15"/>
    </row>
    <row r="576">
      <c r="J576" s="15"/>
      <c r="V576" s="15"/>
      <c r="W576" s="15"/>
    </row>
    <row r="577">
      <c r="J577" s="15"/>
      <c r="V577" s="15"/>
      <c r="W577" s="15"/>
    </row>
    <row r="578">
      <c r="J578" s="15"/>
      <c r="V578" s="15"/>
      <c r="W578" s="15"/>
    </row>
    <row r="579">
      <c r="J579" s="15"/>
      <c r="V579" s="15"/>
      <c r="W579" s="15"/>
    </row>
    <row r="580">
      <c r="J580" s="15"/>
      <c r="V580" s="15"/>
      <c r="W580" s="15"/>
    </row>
    <row r="581">
      <c r="J581" s="15"/>
      <c r="V581" s="15"/>
      <c r="W581" s="15"/>
    </row>
    <row r="582">
      <c r="J582" s="15"/>
      <c r="V582" s="15"/>
      <c r="W582" s="15"/>
    </row>
    <row r="583">
      <c r="J583" s="15"/>
      <c r="V583" s="15"/>
      <c r="W583" s="15"/>
    </row>
    <row r="584">
      <c r="J584" s="15"/>
      <c r="V584" s="15"/>
      <c r="W584" s="15"/>
    </row>
    <row r="585">
      <c r="J585" s="15"/>
      <c r="V585" s="15"/>
      <c r="W585" s="15"/>
    </row>
    <row r="586">
      <c r="J586" s="15"/>
      <c r="V586" s="15"/>
      <c r="W586" s="15"/>
    </row>
    <row r="587">
      <c r="J587" s="15"/>
      <c r="V587" s="15"/>
      <c r="W587" s="15"/>
    </row>
    <row r="588">
      <c r="J588" s="15"/>
      <c r="V588" s="15"/>
      <c r="W588" s="15"/>
    </row>
    <row r="589">
      <c r="J589" s="15"/>
      <c r="V589" s="15"/>
      <c r="W589" s="15"/>
    </row>
    <row r="590">
      <c r="J590" s="15"/>
      <c r="V590" s="15"/>
      <c r="W590" s="15"/>
    </row>
    <row r="591">
      <c r="J591" s="15"/>
      <c r="V591" s="15"/>
      <c r="W591" s="15"/>
    </row>
    <row r="592">
      <c r="J592" s="15"/>
      <c r="V592" s="15"/>
      <c r="W592" s="15"/>
    </row>
    <row r="593">
      <c r="J593" s="15"/>
      <c r="V593" s="15"/>
      <c r="W593" s="15"/>
    </row>
    <row r="594">
      <c r="J594" s="15"/>
      <c r="V594" s="15"/>
      <c r="W594" s="15"/>
    </row>
    <row r="595">
      <c r="J595" s="15"/>
      <c r="V595" s="15"/>
      <c r="W595" s="15"/>
    </row>
    <row r="596">
      <c r="J596" s="15"/>
      <c r="V596" s="15"/>
      <c r="W596" s="15"/>
    </row>
    <row r="597">
      <c r="J597" s="15"/>
      <c r="V597" s="15"/>
      <c r="W597" s="15"/>
    </row>
    <row r="598">
      <c r="J598" s="15"/>
      <c r="V598" s="15"/>
      <c r="W598" s="15"/>
    </row>
    <row r="599">
      <c r="J599" s="15"/>
      <c r="V599" s="15"/>
      <c r="W599" s="15"/>
    </row>
    <row r="600">
      <c r="J600" s="15"/>
      <c r="V600" s="15"/>
      <c r="W600" s="15"/>
    </row>
    <row r="601">
      <c r="J601" s="15"/>
      <c r="V601" s="15"/>
      <c r="W601" s="15"/>
    </row>
    <row r="602">
      <c r="J602" s="15"/>
      <c r="V602" s="15"/>
      <c r="W602" s="15"/>
    </row>
    <row r="603">
      <c r="J603" s="15"/>
      <c r="V603" s="15"/>
      <c r="W603" s="15"/>
    </row>
    <row r="604">
      <c r="J604" s="15"/>
      <c r="V604" s="15"/>
      <c r="W604" s="15"/>
    </row>
    <row r="605">
      <c r="J605" s="15"/>
      <c r="V605" s="15"/>
      <c r="W605" s="15"/>
    </row>
    <row r="606">
      <c r="J606" s="15"/>
      <c r="V606" s="15"/>
      <c r="W606" s="15"/>
    </row>
    <row r="607">
      <c r="J607" s="15"/>
      <c r="V607" s="15"/>
      <c r="W607" s="15"/>
    </row>
    <row r="608">
      <c r="J608" s="15"/>
      <c r="V608" s="15"/>
      <c r="W608" s="15"/>
    </row>
    <row r="609">
      <c r="J609" s="15"/>
      <c r="V609" s="15"/>
      <c r="W609" s="15"/>
    </row>
    <row r="610">
      <c r="J610" s="15"/>
      <c r="V610" s="15"/>
      <c r="W610" s="15"/>
    </row>
    <row r="611">
      <c r="J611" s="15"/>
      <c r="V611" s="15"/>
      <c r="W611" s="15"/>
    </row>
    <row r="612">
      <c r="J612" s="15"/>
      <c r="V612" s="15"/>
      <c r="W612" s="15"/>
    </row>
    <row r="613">
      <c r="J613" s="15"/>
      <c r="V613" s="15"/>
      <c r="W613" s="15"/>
    </row>
    <row r="614">
      <c r="J614" s="15"/>
      <c r="V614" s="15"/>
      <c r="W614" s="15"/>
    </row>
    <row r="615">
      <c r="J615" s="15"/>
      <c r="V615" s="15"/>
      <c r="W615" s="15"/>
    </row>
    <row r="616">
      <c r="J616" s="15"/>
      <c r="V616" s="15"/>
      <c r="W616" s="15"/>
    </row>
    <row r="617">
      <c r="J617" s="15"/>
      <c r="V617" s="15"/>
      <c r="W617" s="15"/>
    </row>
    <row r="618">
      <c r="J618" s="15"/>
      <c r="V618" s="15"/>
      <c r="W618" s="15"/>
    </row>
    <row r="619">
      <c r="J619" s="15"/>
      <c r="V619" s="15"/>
      <c r="W619" s="15"/>
    </row>
    <row r="620">
      <c r="J620" s="15"/>
      <c r="V620" s="15"/>
      <c r="W620" s="15"/>
    </row>
    <row r="621">
      <c r="J621" s="15"/>
      <c r="V621" s="15"/>
      <c r="W621" s="15"/>
    </row>
    <row r="622">
      <c r="J622" s="15"/>
      <c r="V622" s="15"/>
      <c r="W622" s="15"/>
    </row>
    <row r="623">
      <c r="J623" s="15"/>
      <c r="V623" s="15"/>
      <c r="W623" s="15"/>
    </row>
    <row r="624">
      <c r="J624" s="15"/>
      <c r="V624" s="15"/>
      <c r="W624" s="15"/>
    </row>
    <row r="625">
      <c r="J625" s="15"/>
      <c r="V625" s="15"/>
      <c r="W625" s="15"/>
    </row>
    <row r="626">
      <c r="J626" s="15"/>
      <c r="V626" s="15"/>
      <c r="W626" s="15"/>
    </row>
    <row r="627">
      <c r="J627" s="15"/>
      <c r="V627" s="15"/>
      <c r="W627" s="15"/>
    </row>
    <row r="628">
      <c r="J628" s="15"/>
      <c r="V628" s="15"/>
      <c r="W628" s="15"/>
    </row>
    <row r="629">
      <c r="J629" s="15"/>
      <c r="V629" s="15"/>
      <c r="W629" s="15"/>
    </row>
    <row r="630">
      <c r="J630" s="15"/>
      <c r="V630" s="15"/>
      <c r="W630" s="15"/>
    </row>
    <row r="631">
      <c r="J631" s="15"/>
      <c r="V631" s="15"/>
      <c r="W631" s="15"/>
    </row>
    <row r="632">
      <c r="J632" s="15"/>
      <c r="V632" s="15"/>
      <c r="W632" s="15"/>
    </row>
    <row r="633">
      <c r="J633" s="15"/>
      <c r="V633" s="15"/>
      <c r="W633" s="15"/>
    </row>
    <row r="634">
      <c r="J634" s="15"/>
      <c r="V634" s="15"/>
      <c r="W634" s="15"/>
    </row>
    <row r="635">
      <c r="J635" s="15"/>
      <c r="V635" s="15"/>
      <c r="W635" s="15"/>
    </row>
    <row r="636">
      <c r="J636" s="15"/>
      <c r="V636" s="15"/>
      <c r="W636" s="15"/>
    </row>
    <row r="637">
      <c r="J637" s="15"/>
      <c r="V637" s="15"/>
      <c r="W637" s="15"/>
    </row>
    <row r="638">
      <c r="J638" s="15"/>
      <c r="V638" s="15"/>
      <c r="W638" s="15"/>
    </row>
    <row r="639">
      <c r="J639" s="15"/>
      <c r="V639" s="15"/>
      <c r="W639" s="15"/>
    </row>
    <row r="640">
      <c r="J640" s="15"/>
      <c r="V640" s="15"/>
      <c r="W640" s="15"/>
    </row>
    <row r="641">
      <c r="J641" s="15"/>
      <c r="V641" s="15"/>
      <c r="W641" s="15"/>
    </row>
    <row r="642">
      <c r="J642" s="15"/>
      <c r="V642" s="15"/>
      <c r="W642" s="15"/>
    </row>
    <row r="643">
      <c r="J643" s="15"/>
      <c r="V643" s="15"/>
      <c r="W643" s="15"/>
    </row>
    <row r="644">
      <c r="J644" s="15"/>
      <c r="V644" s="15"/>
      <c r="W644" s="15"/>
    </row>
    <row r="645">
      <c r="J645" s="15"/>
      <c r="V645" s="15"/>
      <c r="W645" s="15"/>
    </row>
    <row r="646">
      <c r="J646" s="15"/>
      <c r="V646" s="15"/>
      <c r="W646" s="15"/>
    </row>
    <row r="647">
      <c r="J647" s="15"/>
      <c r="V647" s="15"/>
      <c r="W647" s="15"/>
    </row>
    <row r="648">
      <c r="J648" s="15"/>
      <c r="V648" s="15"/>
      <c r="W648" s="15"/>
    </row>
    <row r="649">
      <c r="J649" s="15"/>
      <c r="V649" s="15"/>
      <c r="W649" s="15"/>
    </row>
    <row r="650">
      <c r="J650" s="15"/>
      <c r="V650" s="15"/>
      <c r="W650" s="15"/>
    </row>
    <row r="651">
      <c r="J651" s="15"/>
      <c r="V651" s="15"/>
      <c r="W651" s="15"/>
    </row>
    <row r="652">
      <c r="J652" s="15"/>
      <c r="V652" s="15"/>
      <c r="W652" s="15"/>
    </row>
    <row r="653">
      <c r="J653" s="15"/>
      <c r="V653" s="15"/>
      <c r="W653" s="15"/>
    </row>
    <row r="654">
      <c r="J654" s="15"/>
      <c r="V654" s="15"/>
      <c r="W654" s="15"/>
    </row>
    <row r="655">
      <c r="J655" s="15"/>
      <c r="V655" s="15"/>
      <c r="W655" s="15"/>
    </row>
    <row r="656">
      <c r="J656" s="15"/>
      <c r="V656" s="15"/>
      <c r="W656" s="15"/>
    </row>
    <row r="657">
      <c r="J657" s="15"/>
      <c r="V657" s="15"/>
      <c r="W657" s="15"/>
    </row>
    <row r="658">
      <c r="J658" s="15"/>
      <c r="V658" s="15"/>
      <c r="W658" s="15"/>
    </row>
    <row r="659">
      <c r="J659" s="15"/>
      <c r="V659" s="15"/>
      <c r="W659" s="15"/>
    </row>
    <row r="660">
      <c r="J660" s="15"/>
      <c r="V660" s="15"/>
      <c r="W660" s="15"/>
    </row>
    <row r="661">
      <c r="J661" s="15"/>
      <c r="V661" s="15"/>
      <c r="W661" s="15"/>
    </row>
    <row r="662">
      <c r="J662" s="15"/>
      <c r="V662" s="15"/>
      <c r="W662" s="15"/>
    </row>
    <row r="663">
      <c r="J663" s="15"/>
      <c r="V663" s="15"/>
      <c r="W663" s="15"/>
    </row>
    <row r="664">
      <c r="J664" s="15"/>
      <c r="V664" s="15"/>
      <c r="W664" s="15"/>
    </row>
    <row r="665">
      <c r="J665" s="15"/>
      <c r="V665" s="15"/>
      <c r="W665" s="15"/>
    </row>
    <row r="666">
      <c r="J666" s="15"/>
      <c r="V666" s="15"/>
      <c r="W666" s="15"/>
    </row>
    <row r="667">
      <c r="J667" s="15"/>
      <c r="V667" s="15"/>
      <c r="W667" s="15"/>
    </row>
    <row r="668">
      <c r="J668" s="15"/>
      <c r="V668" s="15"/>
      <c r="W668" s="15"/>
    </row>
    <row r="669">
      <c r="J669" s="15"/>
      <c r="V669" s="15"/>
      <c r="W669" s="15"/>
    </row>
    <row r="670">
      <c r="J670" s="15"/>
      <c r="V670" s="15"/>
      <c r="W670" s="15"/>
    </row>
    <row r="671">
      <c r="J671" s="15"/>
      <c r="V671" s="15"/>
      <c r="W671" s="15"/>
    </row>
    <row r="672">
      <c r="J672" s="15"/>
      <c r="V672" s="15"/>
      <c r="W672" s="15"/>
    </row>
    <row r="673">
      <c r="J673" s="15"/>
      <c r="V673" s="15"/>
      <c r="W673" s="15"/>
    </row>
    <row r="674">
      <c r="J674" s="15"/>
      <c r="V674" s="15"/>
      <c r="W674" s="15"/>
    </row>
    <row r="675">
      <c r="J675" s="15"/>
      <c r="V675" s="15"/>
      <c r="W675" s="15"/>
    </row>
    <row r="676">
      <c r="J676" s="15"/>
      <c r="V676" s="15"/>
      <c r="W676" s="15"/>
    </row>
    <row r="677">
      <c r="J677" s="15"/>
      <c r="V677" s="15"/>
      <c r="W677" s="15"/>
    </row>
    <row r="678">
      <c r="J678" s="15"/>
      <c r="V678" s="15"/>
      <c r="W678" s="15"/>
    </row>
    <row r="679">
      <c r="J679" s="15"/>
      <c r="V679" s="15"/>
      <c r="W679" s="15"/>
    </row>
    <row r="680">
      <c r="J680" s="15"/>
      <c r="V680" s="15"/>
      <c r="W680" s="15"/>
    </row>
    <row r="681">
      <c r="J681" s="15"/>
      <c r="V681" s="15"/>
      <c r="W681" s="15"/>
    </row>
    <row r="682">
      <c r="J682" s="15"/>
      <c r="V682" s="15"/>
      <c r="W682" s="15"/>
    </row>
    <row r="683">
      <c r="J683" s="15"/>
      <c r="V683" s="15"/>
      <c r="W683" s="15"/>
    </row>
    <row r="684">
      <c r="J684" s="15"/>
      <c r="V684" s="15"/>
      <c r="W684" s="15"/>
    </row>
    <row r="685">
      <c r="J685" s="15"/>
      <c r="V685" s="15"/>
      <c r="W685" s="15"/>
    </row>
    <row r="686">
      <c r="J686" s="15"/>
      <c r="V686" s="15"/>
      <c r="W686" s="15"/>
    </row>
    <row r="687">
      <c r="J687" s="15"/>
      <c r="V687" s="15"/>
      <c r="W687" s="15"/>
    </row>
    <row r="688">
      <c r="J688" s="15"/>
      <c r="V688" s="15"/>
      <c r="W688" s="15"/>
    </row>
    <row r="689">
      <c r="J689" s="15"/>
      <c r="V689" s="15"/>
      <c r="W689" s="15"/>
    </row>
    <row r="690">
      <c r="J690" s="15"/>
      <c r="V690" s="15"/>
      <c r="W690" s="15"/>
    </row>
    <row r="691">
      <c r="J691" s="15"/>
      <c r="V691" s="15"/>
      <c r="W691" s="15"/>
    </row>
    <row r="692">
      <c r="J692" s="15"/>
      <c r="V692" s="15"/>
      <c r="W692" s="15"/>
    </row>
    <row r="693">
      <c r="J693" s="15"/>
      <c r="V693" s="15"/>
      <c r="W693" s="15"/>
    </row>
    <row r="694">
      <c r="J694" s="15"/>
      <c r="V694" s="15"/>
      <c r="W694" s="15"/>
    </row>
    <row r="695">
      <c r="J695" s="15"/>
      <c r="V695" s="15"/>
      <c r="W695" s="15"/>
    </row>
    <row r="696">
      <c r="J696" s="15"/>
      <c r="V696" s="15"/>
      <c r="W696" s="15"/>
    </row>
    <row r="697">
      <c r="J697" s="15"/>
      <c r="V697" s="15"/>
      <c r="W697" s="15"/>
    </row>
    <row r="698">
      <c r="J698" s="15"/>
      <c r="V698" s="15"/>
      <c r="W698" s="15"/>
    </row>
    <row r="699">
      <c r="J699" s="15"/>
      <c r="V699" s="15"/>
      <c r="W699" s="15"/>
    </row>
    <row r="700">
      <c r="J700" s="15"/>
      <c r="V700" s="15"/>
      <c r="W700" s="15"/>
    </row>
    <row r="701">
      <c r="J701" s="15"/>
      <c r="V701" s="15"/>
      <c r="W701" s="15"/>
    </row>
    <row r="702">
      <c r="J702" s="15"/>
      <c r="V702" s="15"/>
      <c r="W702" s="15"/>
    </row>
    <row r="703">
      <c r="J703" s="15"/>
      <c r="V703" s="15"/>
      <c r="W703" s="15"/>
    </row>
    <row r="704">
      <c r="J704" s="15"/>
      <c r="V704" s="15"/>
      <c r="W704" s="15"/>
    </row>
    <row r="705">
      <c r="J705" s="15"/>
      <c r="V705" s="15"/>
      <c r="W705" s="15"/>
    </row>
    <row r="706">
      <c r="J706" s="15"/>
      <c r="V706" s="15"/>
      <c r="W706" s="15"/>
    </row>
    <row r="707">
      <c r="J707" s="15"/>
      <c r="V707" s="15"/>
      <c r="W707" s="15"/>
    </row>
    <row r="708">
      <c r="J708" s="15"/>
      <c r="V708" s="15"/>
      <c r="W708" s="15"/>
    </row>
    <row r="709">
      <c r="J709" s="15"/>
      <c r="V709" s="15"/>
      <c r="W709" s="15"/>
    </row>
    <row r="710">
      <c r="J710" s="15"/>
      <c r="V710" s="15"/>
      <c r="W710" s="15"/>
    </row>
    <row r="711">
      <c r="J711" s="15"/>
      <c r="V711" s="15"/>
      <c r="W711" s="15"/>
    </row>
    <row r="712">
      <c r="J712" s="15"/>
      <c r="V712" s="15"/>
      <c r="W712" s="15"/>
    </row>
    <row r="713">
      <c r="J713" s="15"/>
      <c r="V713" s="15"/>
      <c r="W713" s="15"/>
    </row>
    <row r="714">
      <c r="J714" s="15"/>
      <c r="V714" s="15"/>
      <c r="W714" s="15"/>
    </row>
    <row r="715">
      <c r="J715" s="15"/>
      <c r="V715" s="15"/>
      <c r="W715" s="15"/>
    </row>
    <row r="716">
      <c r="J716" s="15"/>
      <c r="V716" s="15"/>
      <c r="W716" s="15"/>
    </row>
    <row r="717">
      <c r="J717" s="15"/>
      <c r="V717" s="15"/>
      <c r="W717" s="15"/>
    </row>
    <row r="718">
      <c r="J718" s="15"/>
      <c r="V718" s="15"/>
      <c r="W718" s="15"/>
    </row>
    <row r="719">
      <c r="J719" s="15"/>
      <c r="V719" s="15"/>
      <c r="W719" s="15"/>
    </row>
    <row r="720">
      <c r="J720" s="15"/>
      <c r="V720" s="15"/>
      <c r="W720" s="15"/>
    </row>
    <row r="721">
      <c r="J721" s="15"/>
      <c r="V721" s="15"/>
      <c r="W721" s="15"/>
    </row>
    <row r="722">
      <c r="J722" s="15"/>
      <c r="V722" s="15"/>
      <c r="W722" s="15"/>
    </row>
    <row r="723">
      <c r="J723" s="15"/>
      <c r="V723" s="15"/>
      <c r="W723" s="15"/>
    </row>
    <row r="724">
      <c r="J724" s="15"/>
      <c r="V724" s="15"/>
      <c r="W724" s="15"/>
    </row>
    <row r="725">
      <c r="J725" s="15"/>
      <c r="V725" s="15"/>
      <c r="W725" s="15"/>
    </row>
    <row r="726">
      <c r="J726" s="15"/>
      <c r="V726" s="15"/>
      <c r="W726" s="15"/>
    </row>
    <row r="727">
      <c r="J727" s="15"/>
      <c r="V727" s="15"/>
      <c r="W727" s="15"/>
    </row>
    <row r="728">
      <c r="J728" s="15"/>
      <c r="V728" s="15"/>
      <c r="W728" s="15"/>
    </row>
    <row r="729">
      <c r="J729" s="15"/>
      <c r="V729" s="15"/>
      <c r="W729" s="15"/>
    </row>
    <row r="730">
      <c r="J730" s="15"/>
      <c r="V730" s="15"/>
      <c r="W730" s="15"/>
    </row>
    <row r="731">
      <c r="J731" s="15"/>
      <c r="V731" s="15"/>
      <c r="W731" s="15"/>
    </row>
    <row r="732">
      <c r="J732" s="15"/>
      <c r="V732" s="15"/>
      <c r="W732" s="15"/>
    </row>
    <row r="733">
      <c r="J733" s="15"/>
      <c r="V733" s="15"/>
      <c r="W733" s="15"/>
    </row>
    <row r="734">
      <c r="J734" s="15"/>
      <c r="V734" s="15"/>
      <c r="W734" s="15"/>
    </row>
    <row r="735">
      <c r="J735" s="15"/>
      <c r="V735" s="15"/>
      <c r="W735" s="15"/>
    </row>
    <row r="736">
      <c r="J736" s="15"/>
      <c r="V736" s="15"/>
      <c r="W736" s="15"/>
    </row>
    <row r="737">
      <c r="J737" s="15"/>
      <c r="V737" s="15"/>
      <c r="W737" s="15"/>
    </row>
    <row r="738">
      <c r="J738" s="15"/>
      <c r="V738" s="15"/>
      <c r="W738" s="15"/>
    </row>
    <row r="739">
      <c r="J739" s="15"/>
      <c r="V739" s="15"/>
      <c r="W739" s="15"/>
    </row>
    <row r="740">
      <c r="J740" s="15"/>
      <c r="V740" s="15"/>
      <c r="W740" s="15"/>
    </row>
    <row r="741">
      <c r="J741" s="15"/>
      <c r="V741" s="15"/>
      <c r="W741" s="15"/>
    </row>
    <row r="742">
      <c r="J742" s="15"/>
      <c r="V742" s="15"/>
      <c r="W742" s="15"/>
    </row>
    <row r="743">
      <c r="J743" s="15"/>
      <c r="V743" s="15"/>
      <c r="W743" s="15"/>
    </row>
    <row r="744">
      <c r="J744" s="15"/>
      <c r="V744" s="15"/>
      <c r="W744" s="15"/>
    </row>
    <row r="745">
      <c r="J745" s="15"/>
      <c r="V745" s="15"/>
      <c r="W745" s="15"/>
    </row>
    <row r="746">
      <c r="J746" s="15"/>
      <c r="V746" s="15"/>
      <c r="W746" s="15"/>
    </row>
    <row r="747">
      <c r="J747" s="15"/>
      <c r="V747" s="15"/>
      <c r="W747" s="15"/>
    </row>
    <row r="748">
      <c r="J748" s="15"/>
      <c r="V748" s="15"/>
      <c r="W748" s="15"/>
    </row>
    <row r="749">
      <c r="J749" s="15"/>
      <c r="V749" s="15"/>
      <c r="W749" s="15"/>
    </row>
    <row r="750">
      <c r="J750" s="15"/>
      <c r="V750" s="15"/>
      <c r="W750" s="15"/>
    </row>
    <row r="751">
      <c r="J751" s="15"/>
      <c r="V751" s="15"/>
      <c r="W751" s="15"/>
    </row>
    <row r="752">
      <c r="J752" s="15"/>
      <c r="V752" s="15"/>
      <c r="W752" s="15"/>
    </row>
    <row r="753">
      <c r="J753" s="15"/>
      <c r="V753" s="15"/>
      <c r="W753" s="15"/>
    </row>
    <row r="754">
      <c r="J754" s="15"/>
      <c r="V754" s="15"/>
      <c r="W754" s="15"/>
    </row>
    <row r="755">
      <c r="J755" s="15"/>
      <c r="V755" s="15"/>
      <c r="W755" s="15"/>
    </row>
    <row r="756">
      <c r="J756" s="15"/>
      <c r="V756" s="15"/>
      <c r="W756" s="15"/>
    </row>
    <row r="757">
      <c r="J757" s="15"/>
      <c r="V757" s="15"/>
      <c r="W757" s="15"/>
    </row>
    <row r="758">
      <c r="J758" s="15"/>
      <c r="V758" s="15"/>
      <c r="W758" s="15"/>
    </row>
    <row r="759">
      <c r="J759" s="15"/>
      <c r="V759" s="15"/>
      <c r="W759" s="15"/>
    </row>
    <row r="760">
      <c r="J760" s="15"/>
      <c r="V760" s="15"/>
      <c r="W760" s="15"/>
    </row>
    <row r="761">
      <c r="J761" s="15"/>
      <c r="V761" s="15"/>
      <c r="W761" s="15"/>
    </row>
    <row r="762">
      <c r="J762" s="15"/>
      <c r="V762" s="15"/>
      <c r="W762" s="15"/>
    </row>
    <row r="763">
      <c r="J763" s="15"/>
      <c r="V763" s="15"/>
      <c r="W763" s="15"/>
    </row>
    <row r="764">
      <c r="J764" s="15"/>
      <c r="V764" s="15"/>
      <c r="W764" s="15"/>
    </row>
    <row r="765">
      <c r="J765" s="15"/>
      <c r="V765" s="15"/>
      <c r="W765" s="15"/>
    </row>
    <row r="766">
      <c r="J766" s="15"/>
      <c r="V766" s="15"/>
      <c r="W766" s="15"/>
    </row>
    <row r="767">
      <c r="J767" s="15"/>
      <c r="V767" s="15"/>
      <c r="W767" s="15"/>
    </row>
    <row r="768">
      <c r="J768" s="15"/>
      <c r="V768" s="15"/>
      <c r="W768" s="15"/>
    </row>
    <row r="769">
      <c r="J769" s="15"/>
      <c r="V769" s="15"/>
      <c r="W769" s="15"/>
    </row>
    <row r="770">
      <c r="J770" s="15"/>
      <c r="V770" s="15"/>
      <c r="W770" s="15"/>
    </row>
    <row r="771">
      <c r="J771" s="15"/>
      <c r="V771" s="15"/>
      <c r="W771" s="15"/>
    </row>
    <row r="772">
      <c r="J772" s="15"/>
      <c r="V772" s="15"/>
      <c r="W772" s="15"/>
    </row>
    <row r="773">
      <c r="J773" s="15"/>
      <c r="V773" s="15"/>
      <c r="W773" s="15"/>
    </row>
    <row r="774">
      <c r="J774" s="15"/>
      <c r="V774" s="15"/>
      <c r="W774" s="15"/>
    </row>
    <row r="775">
      <c r="J775" s="15"/>
      <c r="V775" s="15"/>
      <c r="W775" s="15"/>
    </row>
    <row r="776">
      <c r="J776" s="15"/>
      <c r="V776" s="15"/>
      <c r="W776" s="15"/>
    </row>
    <row r="777">
      <c r="J777" s="15"/>
      <c r="V777" s="15"/>
      <c r="W777" s="15"/>
    </row>
    <row r="778">
      <c r="J778" s="15"/>
      <c r="V778" s="15"/>
      <c r="W778" s="15"/>
    </row>
    <row r="779">
      <c r="J779" s="15"/>
      <c r="V779" s="15"/>
      <c r="W779" s="15"/>
    </row>
    <row r="780">
      <c r="J780" s="15"/>
      <c r="V780" s="15"/>
      <c r="W780" s="15"/>
    </row>
    <row r="781">
      <c r="J781" s="15"/>
      <c r="V781" s="15"/>
      <c r="W781" s="15"/>
    </row>
    <row r="782">
      <c r="J782" s="15"/>
      <c r="V782" s="15"/>
      <c r="W782" s="15"/>
    </row>
    <row r="783">
      <c r="J783" s="15"/>
      <c r="V783" s="15"/>
      <c r="W783" s="15"/>
    </row>
    <row r="784">
      <c r="J784" s="15"/>
      <c r="V784" s="15"/>
      <c r="W784" s="15"/>
    </row>
    <row r="785">
      <c r="J785" s="15"/>
      <c r="V785" s="15"/>
      <c r="W785" s="15"/>
    </row>
    <row r="786">
      <c r="J786" s="15"/>
      <c r="V786" s="15"/>
      <c r="W786" s="15"/>
    </row>
    <row r="787">
      <c r="J787" s="15"/>
      <c r="V787" s="15"/>
      <c r="W787" s="15"/>
    </row>
    <row r="788">
      <c r="J788" s="15"/>
      <c r="V788" s="15"/>
      <c r="W788" s="15"/>
    </row>
    <row r="789">
      <c r="J789" s="15"/>
      <c r="V789" s="15"/>
      <c r="W789" s="15"/>
    </row>
    <row r="790">
      <c r="J790" s="15"/>
      <c r="V790" s="15"/>
      <c r="W790" s="15"/>
    </row>
    <row r="791">
      <c r="J791" s="15"/>
      <c r="V791" s="15"/>
      <c r="W791" s="15"/>
    </row>
    <row r="792">
      <c r="J792" s="15"/>
      <c r="V792" s="15"/>
      <c r="W792" s="15"/>
    </row>
    <row r="793">
      <c r="J793" s="15"/>
      <c r="V793" s="15"/>
      <c r="W793" s="15"/>
    </row>
    <row r="794">
      <c r="J794" s="15"/>
      <c r="V794" s="15"/>
      <c r="W794" s="15"/>
    </row>
    <row r="795">
      <c r="J795" s="15"/>
      <c r="V795" s="15"/>
      <c r="W795" s="15"/>
    </row>
    <row r="796">
      <c r="J796" s="15"/>
      <c r="V796" s="15"/>
      <c r="W796" s="15"/>
    </row>
    <row r="797">
      <c r="J797" s="15"/>
      <c r="V797" s="15"/>
      <c r="W797" s="15"/>
    </row>
    <row r="798">
      <c r="J798" s="15"/>
      <c r="V798" s="15"/>
      <c r="W798" s="15"/>
    </row>
    <row r="799">
      <c r="J799" s="15"/>
      <c r="V799" s="15"/>
      <c r="W799" s="15"/>
    </row>
    <row r="800">
      <c r="J800" s="15"/>
      <c r="V800" s="15"/>
      <c r="W800" s="15"/>
    </row>
    <row r="801">
      <c r="J801" s="15"/>
      <c r="V801" s="15"/>
      <c r="W801" s="15"/>
    </row>
    <row r="802">
      <c r="J802" s="15"/>
      <c r="V802" s="15"/>
      <c r="W802" s="15"/>
    </row>
    <row r="803">
      <c r="J803" s="15"/>
      <c r="V803" s="15"/>
      <c r="W803" s="15"/>
    </row>
    <row r="804">
      <c r="J804" s="15"/>
      <c r="V804" s="15"/>
      <c r="W804" s="15"/>
    </row>
    <row r="805">
      <c r="J805" s="15"/>
      <c r="V805" s="15"/>
      <c r="W805" s="15"/>
    </row>
    <row r="806">
      <c r="J806" s="15"/>
      <c r="V806" s="15"/>
      <c r="W806" s="15"/>
    </row>
    <row r="807">
      <c r="J807" s="15"/>
      <c r="V807" s="15"/>
      <c r="W807" s="15"/>
    </row>
    <row r="808">
      <c r="J808" s="15"/>
      <c r="V808" s="15"/>
      <c r="W808" s="15"/>
    </row>
    <row r="809">
      <c r="J809" s="15"/>
      <c r="V809" s="15"/>
      <c r="W809" s="15"/>
    </row>
    <row r="810">
      <c r="J810" s="15"/>
      <c r="V810" s="15"/>
      <c r="W810" s="15"/>
    </row>
    <row r="811">
      <c r="J811" s="15"/>
      <c r="V811" s="15"/>
      <c r="W811" s="15"/>
    </row>
    <row r="812">
      <c r="J812" s="15"/>
      <c r="V812" s="15"/>
      <c r="W812" s="15"/>
    </row>
    <row r="813">
      <c r="J813" s="15"/>
      <c r="V813" s="15"/>
      <c r="W813" s="15"/>
    </row>
    <row r="814">
      <c r="J814" s="15"/>
      <c r="V814" s="15"/>
      <c r="W814" s="15"/>
    </row>
    <row r="815">
      <c r="J815" s="15"/>
      <c r="V815" s="15"/>
      <c r="W815" s="15"/>
    </row>
    <row r="816">
      <c r="J816" s="15"/>
      <c r="V816" s="15"/>
      <c r="W816" s="15"/>
    </row>
    <row r="817">
      <c r="J817" s="15"/>
      <c r="V817" s="15"/>
      <c r="W817" s="15"/>
    </row>
    <row r="818">
      <c r="J818" s="15"/>
      <c r="V818" s="15"/>
      <c r="W818" s="15"/>
    </row>
    <row r="819">
      <c r="J819" s="15"/>
      <c r="V819" s="15"/>
      <c r="W819" s="15"/>
    </row>
    <row r="820">
      <c r="J820" s="15"/>
      <c r="V820" s="15"/>
      <c r="W820" s="15"/>
    </row>
    <row r="821">
      <c r="J821" s="15"/>
      <c r="V821" s="15"/>
      <c r="W821" s="15"/>
    </row>
    <row r="822">
      <c r="J822" s="15"/>
      <c r="V822" s="15"/>
      <c r="W822" s="15"/>
    </row>
    <row r="823">
      <c r="J823" s="15"/>
      <c r="V823" s="15"/>
      <c r="W823" s="15"/>
    </row>
    <row r="824">
      <c r="J824" s="15"/>
      <c r="V824" s="15"/>
      <c r="W824" s="15"/>
    </row>
    <row r="825">
      <c r="J825" s="15"/>
      <c r="V825" s="15"/>
      <c r="W825" s="15"/>
    </row>
    <row r="826">
      <c r="J826" s="15"/>
      <c r="V826" s="15"/>
      <c r="W826" s="15"/>
    </row>
    <row r="827">
      <c r="J827" s="15"/>
      <c r="V827" s="15"/>
      <c r="W827" s="15"/>
    </row>
    <row r="828">
      <c r="J828" s="15"/>
      <c r="V828" s="15"/>
      <c r="W828" s="15"/>
    </row>
    <row r="829">
      <c r="J829" s="15"/>
      <c r="V829" s="15"/>
      <c r="W829" s="15"/>
    </row>
    <row r="830">
      <c r="J830" s="15"/>
      <c r="V830" s="15"/>
      <c r="W830" s="15"/>
    </row>
    <row r="831">
      <c r="J831" s="15"/>
      <c r="V831" s="15"/>
      <c r="W831" s="15"/>
    </row>
    <row r="832">
      <c r="J832" s="15"/>
      <c r="V832" s="15"/>
      <c r="W832" s="15"/>
    </row>
    <row r="833">
      <c r="J833" s="15"/>
      <c r="V833" s="15"/>
      <c r="W833" s="15"/>
    </row>
    <row r="834">
      <c r="J834" s="15"/>
      <c r="V834" s="15"/>
      <c r="W834" s="15"/>
    </row>
    <row r="835">
      <c r="J835" s="15"/>
      <c r="V835" s="15"/>
      <c r="W835" s="15"/>
    </row>
    <row r="836">
      <c r="J836" s="15"/>
      <c r="V836" s="15"/>
      <c r="W836" s="15"/>
    </row>
    <row r="837">
      <c r="J837" s="15"/>
      <c r="V837" s="15"/>
      <c r="W837" s="15"/>
    </row>
    <row r="838">
      <c r="J838" s="15"/>
      <c r="V838" s="15"/>
      <c r="W838" s="15"/>
    </row>
    <row r="839">
      <c r="J839" s="15"/>
      <c r="V839" s="15"/>
      <c r="W839" s="15"/>
    </row>
    <row r="840">
      <c r="J840" s="15"/>
      <c r="V840" s="15"/>
      <c r="W840" s="15"/>
    </row>
    <row r="841">
      <c r="J841" s="15"/>
      <c r="V841" s="15"/>
      <c r="W841" s="15"/>
    </row>
    <row r="842">
      <c r="J842" s="15"/>
      <c r="V842" s="15"/>
      <c r="W842" s="15"/>
    </row>
    <row r="843">
      <c r="J843" s="15"/>
      <c r="V843" s="15"/>
      <c r="W843" s="15"/>
    </row>
    <row r="844">
      <c r="J844" s="15"/>
      <c r="V844" s="15"/>
      <c r="W844" s="15"/>
    </row>
    <row r="845">
      <c r="J845" s="15"/>
      <c r="V845" s="15"/>
      <c r="W845" s="15"/>
    </row>
    <row r="846">
      <c r="J846" s="15"/>
      <c r="V846" s="15"/>
      <c r="W846" s="15"/>
    </row>
    <row r="847">
      <c r="J847" s="15"/>
      <c r="V847" s="15"/>
      <c r="W847" s="15"/>
    </row>
    <row r="848">
      <c r="J848" s="15"/>
      <c r="V848" s="15"/>
      <c r="W848" s="15"/>
    </row>
    <row r="849">
      <c r="J849" s="15"/>
      <c r="V849" s="15"/>
      <c r="W849" s="15"/>
    </row>
    <row r="850">
      <c r="J850" s="15"/>
      <c r="V850" s="15"/>
      <c r="W850" s="15"/>
    </row>
    <row r="851">
      <c r="J851" s="15"/>
      <c r="V851" s="15"/>
      <c r="W851" s="15"/>
    </row>
    <row r="852">
      <c r="J852" s="15"/>
      <c r="V852" s="15"/>
      <c r="W852" s="15"/>
    </row>
    <row r="853">
      <c r="J853" s="15"/>
      <c r="V853" s="15"/>
      <c r="W853" s="15"/>
    </row>
    <row r="854">
      <c r="J854" s="15"/>
      <c r="V854" s="15"/>
      <c r="W854" s="15"/>
    </row>
    <row r="855">
      <c r="J855" s="15"/>
      <c r="V855" s="15"/>
      <c r="W855" s="15"/>
    </row>
    <row r="856">
      <c r="J856" s="15"/>
      <c r="V856" s="15"/>
      <c r="W856" s="15"/>
    </row>
    <row r="857">
      <c r="J857" s="15"/>
      <c r="V857" s="15"/>
      <c r="W857" s="15"/>
    </row>
    <row r="858">
      <c r="J858" s="15"/>
      <c r="V858" s="15"/>
      <c r="W858" s="15"/>
    </row>
    <row r="859">
      <c r="J859" s="15"/>
      <c r="V859" s="15"/>
      <c r="W859" s="15"/>
    </row>
    <row r="860">
      <c r="J860" s="15"/>
      <c r="V860" s="15"/>
      <c r="W860" s="15"/>
    </row>
    <row r="861">
      <c r="J861" s="15"/>
      <c r="V861" s="15"/>
      <c r="W861" s="15"/>
    </row>
    <row r="862">
      <c r="J862" s="15"/>
      <c r="V862" s="15"/>
      <c r="W862" s="15"/>
    </row>
    <row r="863">
      <c r="J863" s="15"/>
      <c r="V863" s="15"/>
      <c r="W863" s="15"/>
    </row>
    <row r="864">
      <c r="J864" s="15"/>
      <c r="V864" s="15"/>
      <c r="W864" s="15"/>
    </row>
    <row r="865">
      <c r="J865" s="15"/>
      <c r="V865" s="15"/>
      <c r="W865" s="15"/>
    </row>
    <row r="866">
      <c r="J866" s="15"/>
      <c r="V866" s="15"/>
      <c r="W866" s="15"/>
    </row>
    <row r="867">
      <c r="J867" s="15"/>
      <c r="V867" s="15"/>
      <c r="W867" s="15"/>
    </row>
    <row r="868">
      <c r="J868" s="15"/>
      <c r="V868" s="15"/>
      <c r="W868" s="15"/>
    </row>
    <row r="869">
      <c r="J869" s="15"/>
      <c r="V869" s="15"/>
      <c r="W869" s="15"/>
    </row>
    <row r="870">
      <c r="J870" s="15"/>
      <c r="V870" s="15"/>
      <c r="W870" s="15"/>
    </row>
    <row r="871">
      <c r="J871" s="15"/>
      <c r="V871" s="15"/>
      <c r="W871" s="15"/>
    </row>
    <row r="872">
      <c r="J872" s="15"/>
      <c r="V872" s="15"/>
      <c r="W872" s="15"/>
    </row>
    <row r="873">
      <c r="J873" s="15"/>
      <c r="V873" s="15"/>
      <c r="W873" s="15"/>
    </row>
    <row r="874">
      <c r="J874" s="15"/>
      <c r="V874" s="15"/>
      <c r="W874" s="15"/>
    </row>
    <row r="875">
      <c r="J875" s="15"/>
      <c r="V875" s="15"/>
      <c r="W875" s="15"/>
    </row>
    <row r="876">
      <c r="J876" s="15"/>
      <c r="V876" s="15"/>
      <c r="W876" s="15"/>
    </row>
    <row r="877">
      <c r="J877" s="15"/>
      <c r="V877" s="15"/>
      <c r="W877" s="15"/>
    </row>
    <row r="878">
      <c r="J878" s="15"/>
      <c r="V878" s="15"/>
      <c r="W878" s="15"/>
    </row>
    <row r="879">
      <c r="J879" s="15"/>
      <c r="V879" s="15"/>
      <c r="W879" s="15"/>
    </row>
    <row r="880">
      <c r="J880" s="15"/>
      <c r="V880" s="15"/>
      <c r="W880" s="15"/>
    </row>
    <row r="881">
      <c r="J881" s="15"/>
      <c r="V881" s="15"/>
      <c r="W881" s="15"/>
    </row>
    <row r="882">
      <c r="J882" s="15"/>
      <c r="V882" s="15"/>
      <c r="W882" s="15"/>
    </row>
    <row r="883">
      <c r="J883" s="15"/>
      <c r="V883" s="15"/>
      <c r="W883" s="15"/>
    </row>
    <row r="884">
      <c r="J884" s="15"/>
      <c r="V884" s="15"/>
      <c r="W884" s="15"/>
    </row>
    <row r="885">
      <c r="J885" s="15"/>
      <c r="V885" s="15"/>
      <c r="W885" s="15"/>
    </row>
    <row r="886">
      <c r="J886" s="15"/>
      <c r="V886" s="15"/>
      <c r="W886" s="15"/>
    </row>
    <row r="887">
      <c r="J887" s="15"/>
      <c r="V887" s="15"/>
      <c r="W887" s="15"/>
    </row>
    <row r="888">
      <c r="J888" s="15"/>
      <c r="V888" s="15"/>
      <c r="W888" s="15"/>
    </row>
    <row r="889">
      <c r="J889" s="15"/>
      <c r="V889" s="15"/>
      <c r="W889" s="15"/>
    </row>
    <row r="890">
      <c r="J890" s="15"/>
      <c r="V890" s="15"/>
      <c r="W890" s="15"/>
    </row>
    <row r="891">
      <c r="J891" s="15"/>
      <c r="V891" s="15"/>
      <c r="W891" s="15"/>
    </row>
    <row r="892">
      <c r="J892" s="15"/>
      <c r="V892" s="15"/>
      <c r="W892" s="15"/>
    </row>
    <row r="893">
      <c r="J893" s="15"/>
      <c r="V893" s="15"/>
      <c r="W893" s="15"/>
    </row>
    <row r="894">
      <c r="J894" s="15"/>
      <c r="V894" s="15"/>
      <c r="W894" s="15"/>
    </row>
    <row r="895">
      <c r="J895" s="15"/>
      <c r="V895" s="15"/>
      <c r="W895" s="15"/>
    </row>
    <row r="896">
      <c r="J896" s="15"/>
      <c r="V896" s="15"/>
      <c r="W896" s="15"/>
    </row>
    <row r="897">
      <c r="J897" s="15"/>
      <c r="V897" s="15"/>
      <c r="W897" s="15"/>
    </row>
    <row r="898">
      <c r="J898" s="15"/>
      <c r="V898" s="15"/>
      <c r="W898" s="15"/>
    </row>
    <row r="899">
      <c r="J899" s="15"/>
      <c r="V899" s="15"/>
      <c r="W899" s="15"/>
    </row>
    <row r="900">
      <c r="J900" s="15"/>
      <c r="V900" s="15"/>
      <c r="W900" s="15"/>
    </row>
    <row r="901">
      <c r="J901" s="15"/>
      <c r="V901" s="15"/>
      <c r="W901" s="15"/>
    </row>
    <row r="902">
      <c r="J902" s="15"/>
      <c r="V902" s="15"/>
      <c r="W902" s="15"/>
    </row>
    <row r="903">
      <c r="J903" s="15"/>
      <c r="V903" s="15"/>
      <c r="W903" s="15"/>
    </row>
    <row r="904">
      <c r="J904" s="15"/>
      <c r="V904" s="15"/>
      <c r="W904" s="15"/>
    </row>
    <row r="905">
      <c r="J905" s="15"/>
      <c r="V905" s="15"/>
      <c r="W905" s="15"/>
    </row>
    <row r="906">
      <c r="J906" s="15"/>
      <c r="V906" s="15"/>
      <c r="W906" s="15"/>
    </row>
    <row r="907">
      <c r="J907" s="15"/>
      <c r="V907" s="15"/>
      <c r="W907" s="15"/>
    </row>
    <row r="908">
      <c r="J908" s="15"/>
      <c r="V908" s="15"/>
      <c r="W908" s="15"/>
    </row>
    <row r="909">
      <c r="J909" s="15"/>
      <c r="V909" s="15"/>
      <c r="W909" s="15"/>
    </row>
    <row r="910">
      <c r="J910" s="15"/>
      <c r="V910" s="15"/>
      <c r="W910" s="15"/>
    </row>
    <row r="911">
      <c r="J911" s="15"/>
      <c r="V911" s="15"/>
      <c r="W911" s="15"/>
    </row>
    <row r="912">
      <c r="J912" s="15"/>
      <c r="V912" s="15"/>
      <c r="W912" s="15"/>
    </row>
    <row r="913">
      <c r="J913" s="15"/>
      <c r="V913" s="15"/>
      <c r="W913" s="15"/>
    </row>
    <row r="914">
      <c r="J914" s="15"/>
      <c r="V914" s="15"/>
      <c r="W914" s="15"/>
    </row>
    <row r="915">
      <c r="J915" s="15"/>
      <c r="V915" s="15"/>
      <c r="W915" s="15"/>
    </row>
    <row r="916">
      <c r="J916" s="15"/>
      <c r="V916" s="15"/>
      <c r="W916" s="15"/>
    </row>
    <row r="917">
      <c r="J917" s="15"/>
      <c r="V917" s="15"/>
      <c r="W917" s="15"/>
    </row>
    <row r="918">
      <c r="J918" s="15"/>
      <c r="V918" s="15"/>
      <c r="W918" s="15"/>
    </row>
    <row r="919">
      <c r="J919" s="15"/>
      <c r="V919" s="15"/>
      <c r="W919" s="15"/>
    </row>
    <row r="920">
      <c r="J920" s="15"/>
      <c r="V920" s="15"/>
      <c r="W920" s="15"/>
    </row>
    <row r="921">
      <c r="J921" s="15"/>
      <c r="V921" s="15"/>
      <c r="W921" s="15"/>
    </row>
    <row r="922">
      <c r="J922" s="15"/>
      <c r="V922" s="15"/>
      <c r="W922" s="15"/>
    </row>
    <row r="923">
      <c r="J923" s="15"/>
      <c r="V923" s="15"/>
      <c r="W923" s="15"/>
    </row>
    <row r="924">
      <c r="J924" s="15"/>
      <c r="V924" s="15"/>
      <c r="W924" s="15"/>
    </row>
    <row r="925">
      <c r="J925" s="15"/>
      <c r="V925" s="15"/>
      <c r="W925" s="15"/>
    </row>
    <row r="926">
      <c r="J926" s="15"/>
      <c r="V926" s="15"/>
      <c r="W926" s="15"/>
    </row>
    <row r="927">
      <c r="J927" s="15"/>
      <c r="V927" s="15"/>
      <c r="W927" s="15"/>
    </row>
    <row r="928">
      <c r="J928" s="15"/>
      <c r="V928" s="15"/>
      <c r="W928" s="15"/>
    </row>
    <row r="929">
      <c r="J929" s="15"/>
      <c r="V929" s="15"/>
      <c r="W929" s="15"/>
    </row>
    <row r="930">
      <c r="J930" s="15"/>
      <c r="V930" s="15"/>
      <c r="W930" s="15"/>
    </row>
    <row r="931">
      <c r="J931" s="15"/>
      <c r="V931" s="15"/>
      <c r="W931" s="15"/>
    </row>
    <row r="932">
      <c r="J932" s="15"/>
      <c r="V932" s="15"/>
      <c r="W932" s="15"/>
    </row>
    <row r="933">
      <c r="J933" s="15"/>
      <c r="V933" s="15"/>
      <c r="W933" s="15"/>
    </row>
    <row r="934">
      <c r="J934" s="15"/>
      <c r="V934" s="15"/>
      <c r="W934" s="15"/>
    </row>
    <row r="935">
      <c r="J935" s="15"/>
      <c r="V935" s="15"/>
      <c r="W935" s="15"/>
    </row>
    <row r="936">
      <c r="J936" s="15"/>
      <c r="V936" s="15"/>
      <c r="W936" s="15"/>
    </row>
    <row r="937">
      <c r="J937" s="15"/>
      <c r="V937" s="15"/>
      <c r="W937" s="15"/>
    </row>
    <row r="938">
      <c r="J938" s="15"/>
      <c r="V938" s="15"/>
      <c r="W938" s="15"/>
    </row>
    <row r="939">
      <c r="J939" s="15"/>
      <c r="V939" s="15"/>
      <c r="W939" s="15"/>
    </row>
    <row r="940">
      <c r="J940" s="15"/>
      <c r="V940" s="15"/>
      <c r="W940" s="15"/>
    </row>
    <row r="941">
      <c r="J941" s="15"/>
      <c r="V941" s="15"/>
      <c r="W941" s="15"/>
    </row>
    <row r="942">
      <c r="J942" s="15"/>
      <c r="V942" s="15"/>
      <c r="W942" s="15"/>
    </row>
    <row r="943">
      <c r="J943" s="15"/>
      <c r="V943" s="15"/>
      <c r="W943" s="15"/>
    </row>
    <row r="944">
      <c r="J944" s="15"/>
      <c r="V944" s="15"/>
      <c r="W944" s="15"/>
    </row>
    <row r="945">
      <c r="J945" s="15"/>
      <c r="V945" s="15"/>
      <c r="W945" s="15"/>
    </row>
    <row r="946">
      <c r="J946" s="15"/>
      <c r="V946" s="15"/>
      <c r="W946" s="15"/>
    </row>
    <row r="947">
      <c r="J947" s="15"/>
      <c r="V947" s="15"/>
      <c r="W947" s="15"/>
    </row>
    <row r="948">
      <c r="J948" s="15"/>
      <c r="V948" s="15"/>
      <c r="W948" s="15"/>
    </row>
    <row r="949">
      <c r="J949" s="15"/>
      <c r="V949" s="15"/>
      <c r="W949" s="15"/>
    </row>
    <row r="950">
      <c r="J950" s="15"/>
      <c r="V950" s="15"/>
      <c r="W950" s="15"/>
    </row>
    <row r="951">
      <c r="J951" s="15"/>
      <c r="V951" s="15"/>
      <c r="W951" s="15"/>
    </row>
    <row r="952">
      <c r="J952" s="15"/>
      <c r="V952" s="15"/>
      <c r="W952" s="15"/>
    </row>
    <row r="953">
      <c r="J953" s="15"/>
      <c r="V953" s="15"/>
      <c r="W953" s="15"/>
    </row>
    <row r="954">
      <c r="J954" s="15"/>
      <c r="V954" s="15"/>
      <c r="W954" s="15"/>
    </row>
    <row r="955">
      <c r="J955" s="15"/>
      <c r="V955" s="15"/>
      <c r="W955" s="15"/>
    </row>
    <row r="956">
      <c r="J956" s="15"/>
      <c r="V956" s="15"/>
      <c r="W956" s="15"/>
    </row>
    <row r="957">
      <c r="J957" s="15"/>
      <c r="V957" s="15"/>
      <c r="W957" s="15"/>
    </row>
    <row r="958">
      <c r="J958" s="15"/>
      <c r="V958" s="15"/>
      <c r="W958" s="15"/>
    </row>
    <row r="959">
      <c r="J959" s="15"/>
      <c r="V959" s="15"/>
      <c r="W959" s="15"/>
    </row>
    <row r="960">
      <c r="J960" s="15"/>
      <c r="V960" s="15"/>
      <c r="W960" s="15"/>
    </row>
    <row r="961">
      <c r="J961" s="15"/>
      <c r="V961" s="15"/>
      <c r="W961" s="15"/>
    </row>
    <row r="962">
      <c r="J962" s="15"/>
      <c r="V962" s="15"/>
      <c r="W962" s="15"/>
    </row>
    <row r="963">
      <c r="J963" s="15"/>
      <c r="V963" s="15"/>
      <c r="W963" s="15"/>
    </row>
    <row r="964">
      <c r="J964" s="15"/>
      <c r="V964" s="15"/>
      <c r="W964" s="15"/>
    </row>
    <row r="965">
      <c r="J965" s="15"/>
      <c r="V965" s="15"/>
      <c r="W965" s="15"/>
    </row>
    <row r="966">
      <c r="J966" s="15"/>
      <c r="V966" s="15"/>
      <c r="W966" s="15"/>
    </row>
    <row r="967">
      <c r="J967" s="15"/>
      <c r="V967" s="15"/>
      <c r="W967" s="15"/>
    </row>
    <row r="968">
      <c r="J968" s="15"/>
      <c r="V968" s="15"/>
      <c r="W968" s="15"/>
    </row>
    <row r="969">
      <c r="J969" s="15"/>
      <c r="V969" s="15"/>
      <c r="W969" s="15"/>
    </row>
    <row r="970">
      <c r="J970" s="15"/>
      <c r="V970" s="15"/>
      <c r="W970" s="15"/>
    </row>
    <row r="971">
      <c r="J971" s="15"/>
      <c r="V971" s="15"/>
      <c r="W971" s="15"/>
    </row>
    <row r="972">
      <c r="J972" s="15"/>
      <c r="V972" s="15"/>
      <c r="W972" s="15"/>
    </row>
    <row r="973">
      <c r="J973" s="15"/>
      <c r="V973" s="15"/>
      <c r="W973" s="15"/>
    </row>
    <row r="974">
      <c r="J974" s="15"/>
      <c r="V974" s="15"/>
      <c r="W974" s="15"/>
    </row>
    <row r="975">
      <c r="J975" s="15"/>
      <c r="V975" s="15"/>
      <c r="W975" s="15"/>
    </row>
    <row r="976">
      <c r="J976" s="15"/>
      <c r="V976" s="15"/>
      <c r="W976" s="15"/>
    </row>
    <row r="977">
      <c r="J977" s="15"/>
      <c r="V977" s="15"/>
      <c r="W977" s="15"/>
    </row>
    <row r="978">
      <c r="J978" s="15"/>
      <c r="V978" s="15"/>
      <c r="W978" s="15"/>
    </row>
    <row r="979">
      <c r="J979" s="15"/>
      <c r="V979" s="15"/>
      <c r="W979" s="15"/>
    </row>
    <row r="980">
      <c r="J980" s="15"/>
      <c r="V980" s="15"/>
      <c r="W980" s="15"/>
    </row>
    <row r="981">
      <c r="J981" s="15"/>
      <c r="V981" s="15"/>
      <c r="W981" s="15"/>
    </row>
    <row r="982">
      <c r="J982" s="15"/>
      <c r="V982" s="15"/>
      <c r="W982" s="15"/>
    </row>
    <row r="983">
      <c r="J983" s="15"/>
      <c r="V983" s="15"/>
      <c r="W983" s="15"/>
    </row>
    <row r="984">
      <c r="J984" s="15"/>
      <c r="V984" s="15"/>
      <c r="W984" s="15"/>
    </row>
    <row r="985">
      <c r="J985" s="15"/>
      <c r="V985" s="15"/>
      <c r="W985" s="15"/>
    </row>
    <row r="986">
      <c r="J986" s="15"/>
      <c r="V986" s="15"/>
      <c r="W986" s="15"/>
    </row>
    <row r="987">
      <c r="J987" s="15"/>
      <c r="V987" s="15"/>
      <c r="W987" s="15"/>
    </row>
    <row r="988">
      <c r="J988" s="15"/>
      <c r="V988" s="15"/>
      <c r="W988" s="15"/>
    </row>
    <row r="989">
      <c r="J989" s="15"/>
      <c r="V989" s="15"/>
      <c r="W989" s="15"/>
    </row>
    <row r="990">
      <c r="J990" s="15"/>
      <c r="V990" s="15"/>
      <c r="W990" s="15"/>
    </row>
    <row r="991">
      <c r="J991" s="15"/>
      <c r="V991" s="15"/>
      <c r="W991" s="15"/>
    </row>
    <row r="992">
      <c r="J992" s="15"/>
      <c r="V992" s="15"/>
      <c r="W992" s="15"/>
    </row>
    <row r="993">
      <c r="J993" s="15"/>
      <c r="V993" s="15"/>
      <c r="W993" s="15"/>
    </row>
    <row r="994">
      <c r="J994" s="15"/>
      <c r="V994" s="15"/>
      <c r="W994" s="15"/>
    </row>
    <row r="995">
      <c r="J995" s="15"/>
      <c r="V995" s="15"/>
      <c r="W995" s="15"/>
    </row>
    <row r="996">
      <c r="J996" s="15"/>
      <c r="V996" s="15"/>
      <c r="W996" s="15"/>
    </row>
    <row r="997">
      <c r="J997" s="15"/>
      <c r="V997" s="15"/>
      <c r="W997" s="15"/>
    </row>
    <row r="998">
      <c r="J998" s="15"/>
      <c r="V998" s="15"/>
      <c r="W998" s="15"/>
    </row>
  </sheetData>
  <autoFilter ref="$B$6:$J$37"/>
  <mergeCells count="4">
    <mergeCell ref="B2:C2"/>
    <mergeCell ref="L6:O6"/>
    <mergeCell ref="Q6:R6"/>
    <mergeCell ref="T6:X6"/>
  </mergeCells>
  <conditionalFormatting sqref="G7:G36">
    <cfRule type="colorScale" priority="1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C6:C34">
    <cfRule type="colorScale" priority="2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U8:U13">
    <cfRule type="cellIs" dxfId="0" priority="3" operator="lessThanOrEqual">
      <formula>MEDIAN($C$7:$C$34)</formula>
    </cfRule>
  </conditionalFormatting>
  <conditionalFormatting sqref="U8:U13">
    <cfRule type="cellIs" dxfId="1" priority="4" operator="greaterThan">
      <formula>MEDIAN($C$7:$C$34)</formula>
    </cfRule>
  </conditionalFormatting>
  <conditionalFormatting sqref="R9">
    <cfRule type="cellIs" dxfId="0" priority="5" operator="lessThanOrEqual">
      <formula>COUNT($B:$B) - (#REF! + #REF!)</formula>
    </cfRule>
  </conditionalFormatting>
  <conditionalFormatting sqref="R9">
    <cfRule type="cellIs" dxfId="1" priority="6" operator="greaterThan">
      <formula>COUNT($B:$B) - (#REF! + #REF!)</formula>
    </cfRule>
  </conditionalFormatting>
  <conditionalFormatting sqref="J7:J36">
    <cfRule type="cellIs" dxfId="0" priority="7" operator="equal">
      <formula>"Sim"</formula>
    </cfRule>
  </conditionalFormatting>
  <conditionalFormatting sqref="J7:J36">
    <cfRule type="cellIs" dxfId="1" priority="8" operator="equal">
      <formula>"Não"</formula>
    </cfRule>
  </conditionalFormatting>
  <drawing r:id="rId1"/>
</worksheet>
</file>